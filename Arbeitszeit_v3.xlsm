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https://eonos-my.sharepoint.com/personal/j55310_eon_com/Documents/Documents/"/>
    </mc:Choice>
  </mc:AlternateContent>
  <xr:revisionPtr revIDLastSave="84" documentId="13_ncr:1_{3DDC94CB-DAE5-4EC3-BA3C-2A1037313DAA}" xr6:coauthVersionLast="47" xr6:coauthVersionMax="47" xr10:uidLastSave="{39394CE5-B7D1-4CC2-9CA8-18444CBE8218}"/>
  <bookViews>
    <workbookView xWindow="1536" yWindow="1536" windowWidth="13968" windowHeight="9024" tabRatio="479" activeTab="3" xr2:uid="{00000000-000D-0000-FFFF-FFFF00000000}"/>
  </bookViews>
  <sheets>
    <sheet name="Tagesansicht" sheetId="2" r:id="rId1"/>
    <sheet name="Wochenansicht" sheetId="3" r:id="rId2"/>
    <sheet name="Monatsansicht" sheetId="4" r:id="rId3"/>
    <sheet name="Tage 2022" sheetId="5" r:id="rId4"/>
    <sheet name="Wochen 2022" sheetId="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7" i="4" l="1"/>
  <c r="F7" i="4" s="1"/>
  <c r="G7" i="4" s="1"/>
  <c r="G366" i="5"/>
  <c r="F366" i="5"/>
  <c r="G359" i="5"/>
  <c r="F359" i="5"/>
  <c r="G352" i="5"/>
  <c r="F352" i="5"/>
  <c r="G345" i="5"/>
  <c r="F345" i="5"/>
  <c r="G338" i="5"/>
  <c r="F338" i="5"/>
  <c r="G331" i="5"/>
  <c r="F331" i="5"/>
  <c r="G324" i="5"/>
  <c r="F324" i="5"/>
  <c r="G317" i="5"/>
  <c r="F317" i="5"/>
  <c r="G310" i="5"/>
  <c r="F310" i="5"/>
  <c r="G303" i="5"/>
  <c r="F303" i="5"/>
  <c r="G296" i="5"/>
  <c r="F296" i="5"/>
  <c r="G289" i="5"/>
  <c r="F289" i="5"/>
  <c r="G282" i="5"/>
  <c r="F282" i="5"/>
  <c r="G275" i="5"/>
  <c r="F275" i="5"/>
  <c r="G268" i="5"/>
  <c r="F268" i="5"/>
  <c r="G261" i="5"/>
  <c r="F261" i="5"/>
  <c r="G254" i="5"/>
  <c r="F254" i="5"/>
  <c r="G247" i="5"/>
  <c r="F247" i="5"/>
  <c r="G240" i="5"/>
  <c r="F240" i="5"/>
  <c r="G233" i="5"/>
  <c r="F233" i="5"/>
  <c r="G226" i="5"/>
  <c r="F226" i="5"/>
  <c r="G219" i="5"/>
  <c r="F219" i="5"/>
  <c r="G212" i="5"/>
  <c r="F212" i="5"/>
  <c r="G205" i="5"/>
  <c r="F205" i="5"/>
  <c r="G198" i="5"/>
  <c r="F198" i="5"/>
  <c r="G191" i="5"/>
  <c r="F191" i="5"/>
  <c r="G184" i="5"/>
  <c r="F184" i="5"/>
  <c r="G177" i="5"/>
  <c r="F177" i="5"/>
  <c r="G170" i="5"/>
  <c r="F170" i="5"/>
  <c r="G163" i="5"/>
  <c r="F163" i="5"/>
  <c r="G156" i="5"/>
  <c r="F156" i="5"/>
  <c r="G149" i="5"/>
  <c r="F149" i="5"/>
  <c r="G142" i="5"/>
  <c r="F142" i="5"/>
  <c r="G135" i="5"/>
  <c r="F135" i="5"/>
  <c r="G128" i="5"/>
  <c r="F128" i="5"/>
  <c r="G121" i="5"/>
  <c r="F121" i="5"/>
  <c r="G114" i="5"/>
  <c r="F114" i="5"/>
  <c r="G107" i="5"/>
  <c r="F107" i="5"/>
  <c r="G100" i="5"/>
  <c r="F100" i="5"/>
  <c r="G93" i="5"/>
  <c r="F93" i="5"/>
  <c r="G86" i="5"/>
  <c r="F86" i="5"/>
  <c r="G79" i="5"/>
  <c r="F79" i="5"/>
  <c r="G72" i="5"/>
  <c r="F72" i="5"/>
  <c r="G65" i="5"/>
  <c r="F65" i="5"/>
  <c r="G58" i="5"/>
  <c r="F58" i="5"/>
  <c r="G51" i="5"/>
  <c r="F51" i="5"/>
  <c r="G44" i="5"/>
  <c r="F44" i="5"/>
  <c r="G37" i="5"/>
  <c r="F37" i="5"/>
  <c r="G30" i="5"/>
  <c r="F30" i="5"/>
  <c r="G23" i="5"/>
  <c r="F23" i="5"/>
  <c r="G16" i="5"/>
  <c r="F16" i="5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2" i="3"/>
  <c r="F3" i="5"/>
  <c r="F7" i="5"/>
  <c r="F8" i="5"/>
  <c r="F10" i="5"/>
  <c r="F11" i="5"/>
  <c r="F12" i="5"/>
  <c r="F13" i="5"/>
  <c r="F14" i="5"/>
  <c r="F15" i="5"/>
  <c r="F17" i="5"/>
  <c r="F18" i="5"/>
  <c r="F19" i="5"/>
  <c r="F20" i="5"/>
  <c r="F21" i="5"/>
  <c r="F22" i="5"/>
  <c r="F24" i="5"/>
  <c r="F25" i="5"/>
  <c r="F26" i="5"/>
  <c r="F27" i="5"/>
  <c r="F28" i="5"/>
  <c r="F29" i="5"/>
  <c r="F31" i="5"/>
  <c r="F32" i="5"/>
  <c r="F33" i="5"/>
  <c r="F34" i="5"/>
  <c r="F35" i="5"/>
  <c r="F36" i="5"/>
  <c r="F38" i="5"/>
  <c r="F39" i="5"/>
  <c r="F40" i="5"/>
  <c r="F41" i="5"/>
  <c r="F42" i="5"/>
  <c r="F43" i="5"/>
  <c r="F45" i="5"/>
  <c r="F46" i="5"/>
  <c r="F47" i="5"/>
  <c r="F48" i="5"/>
  <c r="F49" i="5"/>
  <c r="F50" i="5"/>
  <c r="F52" i="5"/>
  <c r="F53" i="5"/>
  <c r="F54" i="5"/>
  <c r="F55" i="5"/>
  <c r="F56" i="5"/>
  <c r="F57" i="5"/>
  <c r="F59" i="5"/>
  <c r="F60" i="5"/>
  <c r="F61" i="5"/>
  <c r="F62" i="5"/>
  <c r="F63" i="5"/>
  <c r="F64" i="5"/>
  <c r="F66" i="5"/>
  <c r="F67" i="5"/>
  <c r="F68" i="5"/>
  <c r="F69" i="5"/>
  <c r="F70" i="5"/>
  <c r="F71" i="5"/>
  <c r="F73" i="5"/>
  <c r="F74" i="5"/>
  <c r="F75" i="5"/>
  <c r="F76" i="5"/>
  <c r="F77" i="5"/>
  <c r="F78" i="5"/>
  <c r="F80" i="5"/>
  <c r="F81" i="5"/>
  <c r="F82" i="5"/>
  <c r="F83" i="5"/>
  <c r="F84" i="5"/>
  <c r="F85" i="5"/>
  <c r="F87" i="5"/>
  <c r="F88" i="5"/>
  <c r="F89" i="5"/>
  <c r="F90" i="5"/>
  <c r="F91" i="5"/>
  <c r="F92" i="5"/>
  <c r="F94" i="5"/>
  <c r="F95" i="5"/>
  <c r="F96" i="5"/>
  <c r="F97" i="5"/>
  <c r="F98" i="5"/>
  <c r="F99" i="5"/>
  <c r="F101" i="5"/>
  <c r="F102" i="5"/>
  <c r="F103" i="5"/>
  <c r="F104" i="5"/>
  <c r="F105" i="5"/>
  <c r="F106" i="5"/>
  <c r="F108" i="5"/>
  <c r="F109" i="5"/>
  <c r="F110" i="5"/>
  <c r="F111" i="5"/>
  <c r="F112" i="5"/>
  <c r="F113" i="5"/>
  <c r="F115" i="5"/>
  <c r="F116" i="5"/>
  <c r="F117" i="5"/>
  <c r="F118" i="5"/>
  <c r="F119" i="5"/>
  <c r="F120" i="5"/>
  <c r="F122" i="5"/>
  <c r="F123" i="5"/>
  <c r="F124" i="5"/>
  <c r="F125" i="5"/>
  <c r="F126" i="5"/>
  <c r="F127" i="5"/>
  <c r="F129" i="5"/>
  <c r="F130" i="5"/>
  <c r="F131" i="5"/>
  <c r="F132" i="5"/>
  <c r="F133" i="5"/>
  <c r="F134" i="5"/>
  <c r="F136" i="5"/>
  <c r="F137" i="5"/>
  <c r="F138" i="5"/>
  <c r="F139" i="5"/>
  <c r="F140" i="5"/>
  <c r="F141" i="5"/>
  <c r="F143" i="5"/>
  <c r="F144" i="5"/>
  <c r="F145" i="5"/>
  <c r="F146" i="5"/>
  <c r="F147" i="5"/>
  <c r="F148" i="5"/>
  <c r="F150" i="5"/>
  <c r="F151" i="5"/>
  <c r="F152" i="5"/>
  <c r="F153" i="5"/>
  <c r="F154" i="5"/>
  <c r="F155" i="5"/>
  <c r="F157" i="5"/>
  <c r="F158" i="5"/>
  <c r="F159" i="5"/>
  <c r="F160" i="5"/>
  <c r="F161" i="5"/>
  <c r="F162" i="5"/>
  <c r="F164" i="5"/>
  <c r="F165" i="5"/>
  <c r="F166" i="5"/>
  <c r="F167" i="5"/>
  <c r="F168" i="5"/>
  <c r="F169" i="5"/>
  <c r="F171" i="5"/>
  <c r="F172" i="5"/>
  <c r="F173" i="5"/>
  <c r="F174" i="5"/>
  <c r="F175" i="5"/>
  <c r="F176" i="5"/>
  <c r="F178" i="5"/>
  <c r="F179" i="5"/>
  <c r="F180" i="5"/>
  <c r="F181" i="5"/>
  <c r="F182" i="5"/>
  <c r="F183" i="5"/>
  <c r="F185" i="5"/>
  <c r="F186" i="5"/>
  <c r="F187" i="5"/>
  <c r="F188" i="5"/>
  <c r="F189" i="5"/>
  <c r="F190" i="5"/>
  <c r="F192" i="5"/>
  <c r="F193" i="5"/>
  <c r="F194" i="5"/>
  <c r="F195" i="5"/>
  <c r="F196" i="5"/>
  <c r="F197" i="5"/>
  <c r="F199" i="5"/>
  <c r="F200" i="5"/>
  <c r="F201" i="5"/>
  <c r="F202" i="5"/>
  <c r="F203" i="5"/>
  <c r="F204" i="5"/>
  <c r="F206" i="5"/>
  <c r="F207" i="5"/>
  <c r="F208" i="5"/>
  <c r="F209" i="5"/>
  <c r="F210" i="5"/>
  <c r="F211" i="5"/>
  <c r="F213" i="5"/>
  <c r="F214" i="5"/>
  <c r="F215" i="5"/>
  <c r="F216" i="5"/>
  <c r="F217" i="5"/>
  <c r="F218" i="5"/>
  <c r="F220" i="5"/>
  <c r="F221" i="5"/>
  <c r="F222" i="5"/>
  <c r="F223" i="5"/>
  <c r="F224" i="5"/>
  <c r="F225" i="5"/>
  <c r="F227" i="5"/>
  <c r="F228" i="5"/>
  <c r="F229" i="5"/>
  <c r="F230" i="5"/>
  <c r="F231" i="5"/>
  <c r="F232" i="5"/>
  <c r="F234" i="5"/>
  <c r="F235" i="5"/>
  <c r="F236" i="5"/>
  <c r="F237" i="5"/>
  <c r="F238" i="5"/>
  <c r="F239" i="5"/>
  <c r="F241" i="5"/>
  <c r="F242" i="5"/>
  <c r="F243" i="5"/>
  <c r="F244" i="5"/>
  <c r="F245" i="5"/>
  <c r="F246" i="5"/>
  <c r="F248" i="5"/>
  <c r="F249" i="5"/>
  <c r="F250" i="5"/>
  <c r="F251" i="5"/>
  <c r="F252" i="5"/>
  <c r="F253" i="5"/>
  <c r="F255" i="5"/>
  <c r="F256" i="5"/>
  <c r="F257" i="5"/>
  <c r="F258" i="5"/>
  <c r="F259" i="5"/>
  <c r="F260" i="5"/>
  <c r="F262" i="5"/>
  <c r="F263" i="5"/>
  <c r="F264" i="5"/>
  <c r="F265" i="5"/>
  <c r="F266" i="5"/>
  <c r="F267" i="5"/>
  <c r="F269" i="5"/>
  <c r="F270" i="5"/>
  <c r="F271" i="5"/>
  <c r="F272" i="5"/>
  <c r="F273" i="5"/>
  <c r="F274" i="5"/>
  <c r="F276" i="5"/>
  <c r="F277" i="5"/>
  <c r="F278" i="5"/>
  <c r="F279" i="5"/>
  <c r="F280" i="5"/>
  <c r="F281" i="5"/>
  <c r="F283" i="5"/>
  <c r="F284" i="5"/>
  <c r="F285" i="5"/>
  <c r="F286" i="5"/>
  <c r="F287" i="5"/>
  <c r="F288" i="5"/>
  <c r="F290" i="5"/>
  <c r="F291" i="5"/>
  <c r="F292" i="5"/>
  <c r="F293" i="5"/>
  <c r="F294" i="5"/>
  <c r="F295" i="5"/>
  <c r="F297" i="5"/>
  <c r="F298" i="5"/>
  <c r="F299" i="5"/>
  <c r="F300" i="5"/>
  <c r="F301" i="5"/>
  <c r="F302" i="5"/>
  <c r="F304" i="5"/>
  <c r="F305" i="5"/>
  <c r="F306" i="5"/>
  <c r="F307" i="5"/>
  <c r="F308" i="5"/>
  <c r="F309" i="5"/>
  <c r="F311" i="5"/>
  <c r="F312" i="5"/>
  <c r="F313" i="5"/>
  <c r="F314" i="5"/>
  <c r="F315" i="5"/>
  <c r="F316" i="5"/>
  <c r="F318" i="5"/>
  <c r="F319" i="5"/>
  <c r="F320" i="5"/>
  <c r="F321" i="5"/>
  <c r="F322" i="5"/>
  <c r="F323" i="5"/>
  <c r="F325" i="5"/>
  <c r="F326" i="5"/>
  <c r="F327" i="5"/>
  <c r="F328" i="5"/>
  <c r="F329" i="5"/>
  <c r="F330" i="5"/>
  <c r="F332" i="5"/>
  <c r="F333" i="5"/>
  <c r="F334" i="5"/>
  <c r="F335" i="5"/>
  <c r="F336" i="5"/>
  <c r="F337" i="5"/>
  <c r="F339" i="5"/>
  <c r="F340" i="5"/>
  <c r="F341" i="5"/>
  <c r="F342" i="5"/>
  <c r="F343" i="5"/>
  <c r="F344" i="5"/>
  <c r="F346" i="5"/>
  <c r="F347" i="5"/>
  <c r="F348" i="5"/>
  <c r="F349" i="5"/>
  <c r="F350" i="5"/>
  <c r="F351" i="5"/>
  <c r="F353" i="5"/>
  <c r="F354" i="5"/>
  <c r="F355" i="5"/>
  <c r="F356" i="5"/>
  <c r="F357" i="5"/>
  <c r="F358" i="5"/>
  <c r="F360" i="5"/>
  <c r="F361" i="5"/>
  <c r="F362" i="5"/>
  <c r="F363" i="5"/>
  <c r="F364" i="5"/>
  <c r="F365" i="5"/>
  <c r="G185" i="2"/>
  <c r="F2" i="5"/>
  <c r="F4" i="5" s="1"/>
  <c r="F9" i="5" s="1"/>
  <c r="H158" i="2"/>
  <c r="H159" i="2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2" i="5"/>
  <c r="A11" i="5"/>
  <c r="A18" i="5"/>
  <c r="A25" i="5"/>
  <c r="A32" i="5"/>
  <c r="A39" i="5"/>
  <c r="A46" i="5"/>
  <c r="A53" i="5"/>
  <c r="A60" i="5"/>
  <c r="A67" i="5"/>
  <c r="A74" i="5"/>
  <c r="A81" i="5"/>
  <c r="A88" i="5"/>
  <c r="A95" i="5"/>
  <c r="A102" i="5"/>
  <c r="A109" i="5"/>
  <c r="A116" i="5"/>
  <c r="A123" i="5"/>
  <c r="A130" i="5"/>
  <c r="A137" i="5"/>
  <c r="A144" i="5"/>
  <c r="A151" i="5"/>
  <c r="A158" i="5"/>
  <c r="A165" i="5"/>
  <c r="A172" i="5"/>
  <c r="A179" i="5"/>
  <c r="A186" i="5"/>
  <c r="A193" i="5"/>
  <c r="A200" i="5"/>
  <c r="A207" i="5"/>
  <c r="A214" i="5"/>
  <c r="A221" i="5"/>
  <c r="A228" i="5"/>
  <c r="A235" i="5"/>
  <c r="A242" i="5"/>
  <c r="A249" i="5"/>
  <c r="A256" i="5"/>
  <c r="A263" i="5"/>
  <c r="A270" i="5"/>
  <c r="A277" i="5"/>
  <c r="A284" i="5"/>
  <c r="A291" i="5"/>
  <c r="A298" i="5"/>
  <c r="A305" i="5"/>
  <c r="A312" i="5"/>
  <c r="A319" i="5"/>
  <c r="A326" i="5"/>
  <c r="A333" i="5"/>
  <c r="A340" i="5"/>
  <c r="A347" i="5"/>
  <c r="A354" i="5"/>
  <c r="A361" i="5"/>
  <c r="A2" i="5"/>
  <c r="B9" i="4"/>
  <c r="B24" i="3"/>
  <c r="C24" i="3" s="1"/>
  <c r="I147" i="2"/>
  <c r="D9" i="4"/>
  <c r="C6" i="4"/>
  <c r="H17" i="2"/>
  <c r="I118" i="2"/>
  <c r="H118" i="2"/>
  <c r="I76" i="2"/>
  <c r="H76" i="2"/>
  <c r="C2" i="4"/>
  <c r="H34" i="2"/>
  <c r="H42" i="2"/>
  <c r="C3" i="4"/>
  <c r="C4" i="4"/>
  <c r="C5" i="4"/>
  <c r="C7" i="4"/>
  <c r="A19" i="2"/>
  <c r="A96" i="2"/>
  <c r="A103" i="2"/>
  <c r="A110" i="2"/>
  <c r="A117" i="2"/>
  <c r="A124" i="2"/>
  <c r="A131" i="2"/>
  <c r="A138" i="2"/>
  <c r="A145" i="2"/>
  <c r="A152" i="2"/>
  <c r="A159" i="2"/>
  <c r="A166" i="2"/>
  <c r="A173" i="2"/>
  <c r="A180" i="2"/>
  <c r="A12" i="2"/>
  <c r="A26" i="2"/>
  <c r="A33" i="2"/>
  <c r="A40" i="2"/>
  <c r="A47" i="2"/>
  <c r="A54" i="2"/>
  <c r="A61" i="2"/>
  <c r="A68" i="2"/>
  <c r="A75" i="2"/>
  <c r="A82" i="2"/>
  <c r="A89" i="2"/>
  <c r="A2" i="2"/>
  <c r="A5" i="2"/>
  <c r="I20" i="2"/>
  <c r="I2" i="2"/>
  <c r="I4" i="2"/>
  <c r="I5" i="2"/>
  <c r="I6" i="2"/>
  <c r="I7" i="2"/>
  <c r="I8" i="2"/>
  <c r="I9" i="2"/>
  <c r="I11" i="2"/>
  <c r="I12" i="2"/>
  <c r="I13" i="2"/>
  <c r="I14" i="2"/>
  <c r="I15" i="2"/>
  <c r="I16" i="2"/>
  <c r="I18" i="2"/>
  <c r="I19" i="2"/>
  <c r="I21" i="2"/>
  <c r="I22" i="2"/>
  <c r="I23" i="2"/>
  <c r="I25" i="2"/>
  <c r="I26" i="2"/>
  <c r="I27" i="2"/>
  <c r="I28" i="2"/>
  <c r="I29" i="2"/>
  <c r="I30" i="2"/>
  <c r="I32" i="2"/>
  <c r="I33" i="2"/>
  <c r="I34" i="2"/>
  <c r="I35" i="2"/>
  <c r="I36" i="2"/>
  <c r="I37" i="2"/>
  <c r="I39" i="2"/>
  <c r="I40" i="2"/>
  <c r="I41" i="2"/>
  <c r="I42" i="2"/>
  <c r="I43" i="2"/>
  <c r="I44" i="2"/>
  <c r="I46" i="2"/>
  <c r="I47" i="2"/>
  <c r="I48" i="2"/>
  <c r="I49" i="2"/>
  <c r="I50" i="2"/>
  <c r="I51" i="2"/>
  <c r="I53" i="2"/>
  <c r="I55" i="2"/>
  <c r="I56" i="2"/>
  <c r="I57" i="2"/>
  <c r="I58" i="2"/>
  <c r="I60" i="2"/>
  <c r="I61" i="2"/>
  <c r="I62" i="2"/>
  <c r="I63" i="2"/>
  <c r="I64" i="2"/>
  <c r="I65" i="2"/>
  <c r="I67" i="2"/>
  <c r="I68" i="2"/>
  <c r="I69" i="2"/>
  <c r="I70" i="2"/>
  <c r="I71" i="2"/>
  <c r="I72" i="2"/>
  <c r="I74" i="2"/>
  <c r="I75" i="2"/>
  <c r="I77" i="2"/>
  <c r="I78" i="2"/>
  <c r="I79" i="2"/>
  <c r="I81" i="2"/>
  <c r="I82" i="2"/>
  <c r="I83" i="2"/>
  <c r="I84" i="2"/>
  <c r="I85" i="2"/>
  <c r="I86" i="2"/>
  <c r="I88" i="2"/>
  <c r="I89" i="2"/>
  <c r="I90" i="2"/>
  <c r="I91" i="2"/>
  <c r="I92" i="2"/>
  <c r="I93" i="2"/>
  <c r="I95" i="2"/>
  <c r="I96" i="2"/>
  <c r="I97" i="2"/>
  <c r="I98" i="2"/>
  <c r="I99" i="2"/>
  <c r="I100" i="2"/>
  <c r="I102" i="2"/>
  <c r="I103" i="2"/>
  <c r="I104" i="2"/>
  <c r="I105" i="2"/>
  <c r="I106" i="2"/>
  <c r="I107" i="2"/>
  <c r="I109" i="2"/>
  <c r="I110" i="2"/>
  <c r="I111" i="2"/>
  <c r="I112" i="2"/>
  <c r="I113" i="2"/>
  <c r="I114" i="2"/>
  <c r="I116" i="2"/>
  <c r="I117" i="2"/>
  <c r="I119" i="2"/>
  <c r="I120" i="2"/>
  <c r="I121" i="2"/>
  <c r="I123" i="2"/>
  <c r="I124" i="2"/>
  <c r="I125" i="2"/>
  <c r="I126" i="2"/>
  <c r="I127" i="2"/>
  <c r="I128" i="2"/>
  <c r="I130" i="2"/>
  <c r="I131" i="2"/>
  <c r="I132" i="2"/>
  <c r="I133" i="2"/>
  <c r="I134" i="2"/>
  <c r="I135" i="2"/>
  <c r="I137" i="2"/>
  <c r="I138" i="2"/>
  <c r="I139" i="2"/>
  <c r="I140" i="2"/>
  <c r="I141" i="2"/>
  <c r="I142" i="2"/>
  <c r="I144" i="2"/>
  <c r="I145" i="2"/>
  <c r="I146" i="2"/>
  <c r="I148" i="2"/>
  <c r="I149" i="2"/>
  <c r="I151" i="2"/>
  <c r="I152" i="2"/>
  <c r="I153" i="2"/>
  <c r="I154" i="2"/>
  <c r="I155" i="2"/>
  <c r="I156" i="2"/>
  <c r="I158" i="2"/>
  <c r="I159" i="2"/>
  <c r="I160" i="2"/>
  <c r="I161" i="2"/>
  <c r="I162" i="2"/>
  <c r="I163" i="2"/>
  <c r="I165" i="2"/>
  <c r="I166" i="2"/>
  <c r="I167" i="2"/>
  <c r="I168" i="2"/>
  <c r="I169" i="2"/>
  <c r="I170" i="2"/>
  <c r="I172" i="2"/>
  <c r="I173" i="2"/>
  <c r="I174" i="2"/>
  <c r="I175" i="2"/>
  <c r="I176" i="2"/>
  <c r="I177" i="2"/>
  <c r="I179" i="2"/>
  <c r="I180" i="2"/>
  <c r="I181" i="2"/>
  <c r="I182" i="2"/>
  <c r="I183" i="2"/>
  <c r="I184" i="2"/>
  <c r="H4" i="2"/>
  <c r="H5" i="2"/>
  <c r="H6" i="2"/>
  <c r="H7" i="2"/>
  <c r="H8" i="2"/>
  <c r="H9" i="2"/>
  <c r="H11" i="2"/>
  <c r="H12" i="2"/>
  <c r="H13" i="2"/>
  <c r="H14" i="2"/>
  <c r="H15" i="2"/>
  <c r="H16" i="2"/>
  <c r="H19" i="2"/>
  <c r="H20" i="2"/>
  <c r="H21" i="2"/>
  <c r="H22" i="2"/>
  <c r="H23" i="2"/>
  <c r="H25" i="2"/>
  <c r="H26" i="2"/>
  <c r="H27" i="2"/>
  <c r="H28" i="2"/>
  <c r="H29" i="2"/>
  <c r="H30" i="2"/>
  <c r="H32" i="2"/>
  <c r="H33" i="2"/>
  <c r="H35" i="2"/>
  <c r="H36" i="2"/>
  <c r="H37" i="2"/>
  <c r="H39" i="2"/>
  <c r="H40" i="2"/>
  <c r="H41" i="2"/>
  <c r="H43" i="2"/>
  <c r="H44" i="2"/>
  <c r="H46" i="2"/>
  <c r="H47" i="2"/>
  <c r="H48" i="2"/>
  <c r="H49" i="2"/>
  <c r="H50" i="2"/>
  <c r="H51" i="2"/>
  <c r="H53" i="2"/>
  <c r="H55" i="2"/>
  <c r="H56" i="2"/>
  <c r="H57" i="2"/>
  <c r="H58" i="2"/>
  <c r="H60" i="2"/>
  <c r="H61" i="2"/>
  <c r="H62" i="2"/>
  <c r="H63" i="2"/>
  <c r="H64" i="2"/>
  <c r="H65" i="2"/>
  <c r="H67" i="2"/>
  <c r="H68" i="2"/>
  <c r="H69" i="2"/>
  <c r="H70" i="2"/>
  <c r="H71" i="2"/>
  <c r="H72" i="2"/>
  <c r="H74" i="2"/>
  <c r="H75" i="2"/>
  <c r="H77" i="2"/>
  <c r="H78" i="2"/>
  <c r="H79" i="2"/>
  <c r="H81" i="2"/>
  <c r="H82" i="2"/>
  <c r="H83" i="2"/>
  <c r="H84" i="2"/>
  <c r="H85" i="2"/>
  <c r="H86" i="2"/>
  <c r="H88" i="2"/>
  <c r="H89" i="2"/>
  <c r="H90" i="2"/>
  <c r="H91" i="2"/>
  <c r="H92" i="2"/>
  <c r="H93" i="2"/>
  <c r="H95" i="2"/>
  <c r="H96" i="2"/>
  <c r="H97" i="2"/>
  <c r="H98" i="2"/>
  <c r="H99" i="2"/>
  <c r="H100" i="2"/>
  <c r="H102" i="2"/>
  <c r="H103" i="2"/>
  <c r="H104" i="2"/>
  <c r="H105" i="2"/>
  <c r="H106" i="2"/>
  <c r="H107" i="2"/>
  <c r="H109" i="2"/>
  <c r="H110" i="2"/>
  <c r="H111" i="2"/>
  <c r="H112" i="2"/>
  <c r="H113" i="2"/>
  <c r="H114" i="2"/>
  <c r="H116" i="2"/>
  <c r="H117" i="2"/>
  <c r="H119" i="2"/>
  <c r="H120" i="2"/>
  <c r="H121" i="2"/>
  <c r="H123" i="2"/>
  <c r="H124" i="2"/>
  <c r="H125" i="2"/>
  <c r="H126" i="2"/>
  <c r="H127" i="2"/>
  <c r="H128" i="2"/>
  <c r="H130" i="2"/>
  <c r="H131" i="2"/>
  <c r="H132" i="2"/>
  <c r="H133" i="2"/>
  <c r="H134" i="2"/>
  <c r="H135" i="2"/>
  <c r="H137" i="2"/>
  <c r="H138" i="2"/>
  <c r="H139" i="2"/>
  <c r="H140" i="2"/>
  <c r="H141" i="2"/>
  <c r="H142" i="2"/>
  <c r="H144" i="2"/>
  <c r="H145" i="2"/>
  <c r="H146" i="2"/>
  <c r="H147" i="2"/>
  <c r="H148" i="2"/>
  <c r="H149" i="2"/>
  <c r="H151" i="2"/>
  <c r="H152" i="2"/>
  <c r="H153" i="2"/>
  <c r="H154" i="2"/>
  <c r="H155" i="2"/>
  <c r="H156" i="2"/>
  <c r="H160" i="2"/>
  <c r="H161" i="2"/>
  <c r="H162" i="2"/>
  <c r="H163" i="2"/>
  <c r="H165" i="2"/>
  <c r="H166" i="2"/>
  <c r="H167" i="2"/>
  <c r="H168" i="2"/>
  <c r="H169" i="2"/>
  <c r="H170" i="2"/>
  <c r="H172" i="2"/>
  <c r="H173" i="2"/>
  <c r="H174" i="2"/>
  <c r="H175" i="2"/>
  <c r="H176" i="2"/>
  <c r="H177" i="2"/>
  <c r="H179" i="2"/>
  <c r="H180" i="2"/>
  <c r="H181" i="2"/>
  <c r="H182" i="2"/>
  <c r="H183" i="2"/>
  <c r="H184" i="2"/>
  <c r="H2" i="2"/>
  <c r="H3" i="2" s="1"/>
  <c r="H185" i="2" l="1"/>
  <c r="I185" i="2"/>
  <c r="B28" i="3" s="1"/>
  <c r="C28" i="3" s="1"/>
  <c r="J28" i="3" s="1"/>
  <c r="H178" i="2"/>
  <c r="G4" i="5"/>
  <c r="G9" i="5" s="1"/>
  <c r="B2" i="6"/>
  <c r="H171" i="2"/>
  <c r="H164" i="2"/>
  <c r="H157" i="2"/>
  <c r="H150" i="2"/>
  <c r="H143" i="2"/>
  <c r="H136" i="2"/>
  <c r="H129" i="2"/>
  <c r="C9" i="4"/>
  <c r="H115" i="2"/>
  <c r="H108" i="2"/>
  <c r="H101" i="2"/>
  <c r="H94" i="2"/>
  <c r="H87" i="2"/>
  <c r="H73" i="2"/>
  <c r="H66" i="2"/>
  <c r="I66" i="2"/>
  <c r="B11" i="3" s="1"/>
  <c r="I11" i="3" s="1"/>
  <c r="I108" i="2"/>
  <c r="B17" i="3" s="1"/>
  <c r="I17" i="3" s="1"/>
  <c r="I115" i="2"/>
  <c r="B18" i="3" s="1"/>
  <c r="I18" i="3" s="1"/>
  <c r="I94" i="2"/>
  <c r="B15" i="3" s="1"/>
  <c r="I15" i="3" s="1"/>
  <c r="I178" i="2"/>
  <c r="B27" i="3" s="1"/>
  <c r="C27" i="3" s="1"/>
  <c r="J27" i="3" s="1"/>
  <c r="I164" i="2"/>
  <c r="B25" i="3" s="1"/>
  <c r="I25" i="3" s="1"/>
  <c r="I150" i="2"/>
  <c r="B23" i="3" s="1"/>
  <c r="I23" i="3" s="1"/>
  <c r="I73" i="2"/>
  <c r="B12" i="3" s="1"/>
  <c r="I12" i="3" s="1"/>
  <c r="I87" i="2"/>
  <c r="B14" i="3" s="1"/>
  <c r="I14" i="3" s="1"/>
  <c r="I129" i="2"/>
  <c r="B20" i="3" s="1"/>
  <c r="I20" i="3" s="1"/>
  <c r="I171" i="2"/>
  <c r="B26" i="3" s="1"/>
  <c r="C26" i="3" s="1"/>
  <c r="J26" i="3" s="1"/>
  <c r="I101" i="2"/>
  <c r="B16" i="3" s="1"/>
  <c r="I16" i="3" s="1"/>
  <c r="I143" i="2"/>
  <c r="B22" i="3" s="1"/>
  <c r="I22" i="3" s="1"/>
  <c r="I157" i="2"/>
  <c r="I24" i="3" s="1"/>
  <c r="I136" i="2"/>
  <c r="B21" i="3" s="1"/>
  <c r="I21" i="3" s="1"/>
  <c r="I59" i="2"/>
  <c r="B10" i="3" s="1"/>
  <c r="I10" i="3" s="1"/>
  <c r="I52" i="2"/>
  <c r="B9" i="3" s="1"/>
  <c r="H52" i="2"/>
  <c r="I45" i="2"/>
  <c r="B8" i="3" s="1"/>
  <c r="H45" i="2"/>
  <c r="I38" i="2"/>
  <c r="B7" i="3" s="1"/>
  <c r="H38" i="2"/>
  <c r="H31" i="2"/>
  <c r="I31" i="2"/>
  <c r="B6" i="3" s="1"/>
  <c r="I122" i="2"/>
  <c r="B19" i="3" s="1"/>
  <c r="H122" i="2"/>
  <c r="I80" i="2"/>
  <c r="B13" i="3" s="1"/>
  <c r="H80" i="2"/>
  <c r="H59" i="2"/>
  <c r="H10" i="2"/>
  <c r="H24" i="2"/>
  <c r="I24" i="2"/>
  <c r="B5" i="3" s="1"/>
  <c r="I5" i="3" s="1"/>
  <c r="I10" i="2"/>
  <c r="B3" i="3" s="1"/>
  <c r="I3" i="3" s="1"/>
  <c r="I17" i="2"/>
  <c r="B4" i="3" s="1"/>
  <c r="I4" i="3" s="1"/>
  <c r="I3" i="2"/>
  <c r="C2" i="3" s="1"/>
  <c r="I27" i="3" l="1"/>
  <c r="C17" i="3"/>
  <c r="J17" i="3" s="1"/>
  <c r="C25" i="3"/>
  <c r="J25" i="3" s="1"/>
  <c r="C15" i="3"/>
  <c r="J15" i="3" s="1"/>
  <c r="C12" i="3"/>
  <c r="J12" i="3" s="1"/>
  <c r="C11" i="3"/>
  <c r="J11" i="3" s="1"/>
  <c r="C23" i="3"/>
  <c r="J23" i="3" s="1"/>
  <c r="C18" i="3"/>
  <c r="J18" i="3" s="1"/>
  <c r="J24" i="3"/>
  <c r="C21" i="3"/>
  <c r="J21" i="3" s="1"/>
  <c r="I28" i="3"/>
  <c r="C22" i="3"/>
  <c r="J22" i="3" s="1"/>
  <c r="C16" i="3"/>
  <c r="J16" i="3" s="1"/>
  <c r="I26" i="3"/>
  <c r="C20" i="3"/>
  <c r="J20" i="3" s="1"/>
  <c r="C14" i="3"/>
  <c r="J14" i="3" s="1"/>
  <c r="C10" i="3"/>
  <c r="J10" i="3" s="1"/>
  <c r="C6" i="3"/>
  <c r="J6" i="3" s="1"/>
  <c r="I6" i="3"/>
  <c r="C7" i="3"/>
  <c r="J7" i="3" s="1"/>
  <c r="I7" i="3"/>
  <c r="C8" i="3"/>
  <c r="J8" i="3" s="1"/>
  <c r="I8" i="3"/>
  <c r="C9" i="3"/>
  <c r="J9" i="3" s="1"/>
  <c r="I9" i="3"/>
  <c r="C13" i="3"/>
  <c r="J13" i="3" s="1"/>
  <c r="I13" i="3"/>
  <c r="C19" i="3"/>
  <c r="J19" i="3" s="1"/>
  <c r="I19" i="3"/>
  <c r="G24" i="2"/>
  <c r="C5" i="3" s="1"/>
  <c r="J5" i="3" s="1"/>
  <c r="G178" i="2"/>
  <c r="G171" i="2"/>
  <c r="G164" i="2"/>
  <c r="G157" i="2"/>
  <c r="G150" i="2"/>
  <c r="G143" i="2"/>
  <c r="G136" i="2"/>
  <c r="G129" i="2"/>
  <c r="G122" i="2"/>
  <c r="G115" i="2"/>
  <c r="G108" i="2"/>
  <c r="G101" i="2"/>
  <c r="G94" i="2"/>
  <c r="G87" i="2"/>
  <c r="G80" i="2"/>
  <c r="G73" i="2"/>
  <c r="G66" i="2"/>
  <c r="G59" i="2"/>
  <c r="G52" i="2"/>
  <c r="G45" i="2"/>
  <c r="G38" i="2"/>
  <c r="G31" i="2"/>
  <c r="G8" i="2"/>
  <c r="G5" i="2"/>
  <c r="G16" i="2"/>
  <c r="G15" i="2"/>
  <c r="G14" i="2"/>
  <c r="G13" i="2"/>
  <c r="G12" i="2"/>
  <c r="G11" i="2"/>
  <c r="G9" i="2"/>
  <c r="G7" i="2"/>
  <c r="G6" i="2"/>
  <c r="G4" i="2"/>
  <c r="G2" i="2"/>
  <c r="G3" i="2" s="1"/>
  <c r="F6" i="3" l="1"/>
  <c r="G17" i="2"/>
  <c r="C4" i="3" s="1"/>
  <c r="J4" i="3" s="1"/>
  <c r="G10" i="2"/>
  <c r="C3" i="3" s="1"/>
  <c r="J3" i="3" s="1"/>
  <c r="F5" i="3" l="1"/>
</calcChain>
</file>

<file path=xl/sharedStrings.xml><?xml version="1.0" encoding="utf-8"?>
<sst xmlns="http://schemas.openxmlformats.org/spreadsheetml/2006/main" count="384" uniqueCount="118">
  <si>
    <t>Freitag</t>
  </si>
  <si>
    <t>Samstag</t>
  </si>
  <si>
    <t>Sonntag</t>
  </si>
  <si>
    <t>Montag</t>
  </si>
  <si>
    <t>Dienstag</t>
  </si>
  <si>
    <t>Mittwoch</t>
  </si>
  <si>
    <t>Donnerstag</t>
  </si>
  <si>
    <t>Pause</t>
  </si>
  <si>
    <t>Start</t>
  </si>
  <si>
    <t>Ende</t>
  </si>
  <si>
    <t>Wochentag</t>
  </si>
  <si>
    <t>Datum</t>
  </si>
  <si>
    <t>KW40</t>
  </si>
  <si>
    <t>KW41</t>
  </si>
  <si>
    <t>KW42</t>
  </si>
  <si>
    <t>KW43</t>
  </si>
  <si>
    <t>KW39</t>
  </si>
  <si>
    <t>KW44</t>
  </si>
  <si>
    <t>KW45</t>
  </si>
  <si>
    <t>KW46</t>
  </si>
  <si>
    <t>KW47</t>
  </si>
  <si>
    <t>KW48</t>
  </si>
  <si>
    <t>KW49</t>
  </si>
  <si>
    <t>KW50</t>
  </si>
  <si>
    <t>KW51</t>
  </si>
  <si>
    <t>KW01</t>
  </si>
  <si>
    <t>KW02</t>
  </si>
  <si>
    <t>KW03</t>
  </si>
  <si>
    <t>KW04</t>
  </si>
  <si>
    <t>KW05</t>
  </si>
  <si>
    <t>KW06</t>
  </si>
  <si>
    <t>KW07</t>
  </si>
  <si>
    <t>KW08</t>
  </si>
  <si>
    <t>KW09</t>
  </si>
  <si>
    <t>KW10</t>
  </si>
  <si>
    <t>KW11</t>
  </si>
  <si>
    <t>KW12</t>
  </si>
  <si>
    <t>KW13</t>
  </si>
  <si>
    <t>KW14</t>
  </si>
  <si>
    <t>Monat</t>
  </si>
  <si>
    <t>Oktober</t>
  </si>
  <si>
    <t>November</t>
  </si>
  <si>
    <t>Dezember</t>
  </si>
  <si>
    <t>Januar</t>
  </si>
  <si>
    <t>Februar</t>
  </si>
  <si>
    <t>März</t>
  </si>
  <si>
    <t>Stunden</t>
  </si>
  <si>
    <t>Gehalt</t>
  </si>
  <si>
    <t>Bruttolohn/h</t>
  </si>
  <si>
    <t>Zeit real</t>
  </si>
  <si>
    <t>Zeit eon</t>
  </si>
  <si>
    <t>Zeit gesamt</t>
  </si>
  <si>
    <t>KW</t>
  </si>
  <si>
    <t>Arbeitstage pro Monat</t>
  </si>
  <si>
    <t>Wochen pro Monat</t>
  </si>
  <si>
    <t>Durchschnitt</t>
  </si>
  <si>
    <t>Gesamt</t>
  </si>
  <si>
    <t>Prognose Gehalt</t>
  </si>
  <si>
    <t>Auszahlung</t>
  </si>
  <si>
    <t>Limit</t>
  </si>
  <si>
    <t>Arbeitszeit</t>
  </si>
  <si>
    <t>Überstunden</t>
  </si>
  <si>
    <t>KW 1</t>
  </si>
  <si>
    <t>KW 2</t>
  </si>
  <si>
    <t>KW 3</t>
  </si>
  <si>
    <t>KW 4</t>
  </si>
  <si>
    <t>KW 5</t>
  </si>
  <si>
    <t>KW 6</t>
  </si>
  <si>
    <t>KW 7</t>
  </si>
  <si>
    <t>KW 8</t>
  </si>
  <si>
    <t>KW 9</t>
  </si>
  <si>
    <t>KW 10</t>
  </si>
  <si>
    <t>KW 11</t>
  </si>
  <si>
    <t>KW 12</t>
  </si>
  <si>
    <t>KW 13</t>
  </si>
  <si>
    <t>KW 14</t>
  </si>
  <si>
    <t>KW 15</t>
  </si>
  <si>
    <t>KW 16</t>
  </si>
  <si>
    <t>KW 17</t>
  </si>
  <si>
    <t>KW 18</t>
  </si>
  <si>
    <t>KW 19</t>
  </si>
  <si>
    <t>KW 20</t>
  </si>
  <si>
    <t>KW 21</t>
  </si>
  <si>
    <t>KW 22</t>
  </si>
  <si>
    <t>KW 23</t>
  </si>
  <si>
    <t>KW 24</t>
  </si>
  <si>
    <t>KW 25</t>
  </si>
  <si>
    <t>KW 26</t>
  </si>
  <si>
    <t>KW 27</t>
  </si>
  <si>
    <t>KW 28</t>
  </si>
  <si>
    <t>KW 29</t>
  </si>
  <si>
    <t>KW 30</t>
  </si>
  <si>
    <t>KW 31</t>
  </si>
  <si>
    <t>KW 32</t>
  </si>
  <si>
    <t>KW 33</t>
  </si>
  <si>
    <t>KW 34</t>
  </si>
  <si>
    <t>KW 35</t>
  </si>
  <si>
    <t>KW 36</t>
  </si>
  <si>
    <t>KW 37</t>
  </si>
  <si>
    <t>KW 38</t>
  </si>
  <si>
    <t>KW 39</t>
  </si>
  <si>
    <t>KW 40</t>
  </si>
  <si>
    <t>KW 41</t>
  </si>
  <si>
    <t>KW 42</t>
  </si>
  <si>
    <t>KW 43</t>
  </si>
  <si>
    <t>KW 44</t>
  </si>
  <si>
    <t>KW 45</t>
  </si>
  <si>
    <t>KW 46</t>
  </si>
  <si>
    <t>KW 47</t>
  </si>
  <si>
    <t>KW 48</t>
  </si>
  <si>
    <t>KW 49</t>
  </si>
  <si>
    <t>KW 50</t>
  </si>
  <si>
    <t>KW 51</t>
  </si>
  <si>
    <t>KW 52</t>
  </si>
  <si>
    <t>Kurzwoche</t>
  </si>
  <si>
    <t>KW 0</t>
  </si>
  <si>
    <t>Sollstuden März</t>
  </si>
  <si>
    <t>Sollstunden pro Woche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</si>
</sst>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€&quot;_-;\-* #,##0.00\ &quot;€&quot;_-;_-* &quot;-&quot;??\ &quot;€&quot;_-;_-@_-"/>
    <numFmt numFmtId="164" formatCode="h:mm;@"/>
    <numFmt numFmtId="165" formatCode="#,##0.00\ &quot;€&quot;"/>
    <numFmt numFmtId="166" formatCode="[h]:mm;@"/>
    <numFmt numFmtId="167" formatCode="[$-F400]h:mm:ss\ AM/PM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8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2" tint="-0.49998474074526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ed">
        <color auto="1"/>
      </top>
      <bottom/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64">
    <xf numFmtId="0" fontId="0" fillId="0" borderId="0" xfId="0"/>
    <xf numFmtId="16" fontId="0" fillId="0" borderId="0" xfId="0" applyNumberFormat="1"/>
    <xf numFmtId="0" fontId="1" fillId="0" borderId="0" xfId="0" applyFont="1"/>
    <xf numFmtId="164" fontId="0" fillId="0" borderId="0" xfId="0" applyNumberFormat="1"/>
    <xf numFmtId="16" fontId="0" fillId="0" borderId="1" xfId="0" applyNumberFormat="1" applyBorder="1"/>
    <xf numFmtId="0" fontId="0" fillId="0" borderId="1" xfId="0" applyBorder="1"/>
    <xf numFmtId="164" fontId="0" fillId="0" borderId="1" xfId="0" applyNumberFormat="1" applyBorder="1"/>
    <xf numFmtId="0" fontId="0" fillId="0" borderId="0" xfId="0" applyFont="1"/>
    <xf numFmtId="165" fontId="0" fillId="0" borderId="0" xfId="0" applyNumberFormat="1"/>
    <xf numFmtId="44" fontId="0" fillId="0" borderId="0" xfId="1" applyFont="1"/>
    <xf numFmtId="166" fontId="0" fillId="0" borderId="0" xfId="0" applyNumberFormat="1"/>
    <xf numFmtId="166" fontId="1" fillId="0" borderId="0" xfId="0" applyNumberFormat="1" applyFont="1"/>
    <xf numFmtId="166" fontId="0" fillId="0" borderId="0" xfId="0" applyNumberFormat="1" applyFont="1"/>
    <xf numFmtId="0" fontId="6" fillId="4" borderId="5" xfId="0" applyFont="1" applyFill="1" applyBorder="1"/>
    <xf numFmtId="0" fontId="6" fillId="4" borderId="6" xfId="0" applyFont="1" applyFill="1" applyBorder="1"/>
    <xf numFmtId="0" fontId="5" fillId="4" borderId="7" xfId="0" applyFont="1" applyFill="1" applyBorder="1"/>
    <xf numFmtId="44" fontId="0" fillId="0" borderId="0" xfId="0" applyNumberFormat="1"/>
    <xf numFmtId="166" fontId="0" fillId="0" borderId="1" xfId="0" applyNumberFormat="1" applyBorder="1"/>
    <xf numFmtId="166" fontId="0" fillId="0" borderId="1" xfId="0" applyNumberFormat="1" applyFont="1" applyBorder="1"/>
    <xf numFmtId="166" fontId="1" fillId="0" borderId="1" xfId="0" applyNumberFormat="1" applyFont="1" applyBorder="1"/>
    <xf numFmtId="0" fontId="0" fillId="0" borderId="0" xfId="0" applyBorder="1"/>
    <xf numFmtId="164" fontId="0" fillId="0" borderId="0" xfId="0" applyNumberFormat="1" applyBorder="1"/>
    <xf numFmtId="16" fontId="0" fillId="0" borderId="8" xfId="0" applyNumberFormat="1" applyBorder="1"/>
    <xf numFmtId="0" fontId="0" fillId="0" borderId="8" xfId="0" applyBorder="1"/>
    <xf numFmtId="164" fontId="0" fillId="0" borderId="8" xfId="0" applyNumberFormat="1" applyBorder="1"/>
    <xf numFmtId="166" fontId="3" fillId="0" borderId="8" xfId="0" applyNumberFormat="1" applyFont="1" applyBorder="1"/>
    <xf numFmtId="166" fontId="7" fillId="0" borderId="8" xfId="0" applyNumberFormat="1" applyFont="1" applyBorder="1"/>
    <xf numFmtId="167" fontId="0" fillId="0" borderId="8" xfId="0" applyNumberFormat="1" applyBorder="1"/>
    <xf numFmtId="0" fontId="0" fillId="0" borderId="0" xfId="0" applyFill="1" applyBorder="1"/>
    <xf numFmtId="0" fontId="0" fillId="0" borderId="0" xfId="0" applyNumberFormat="1"/>
    <xf numFmtId="44" fontId="0" fillId="0" borderId="1" xfId="0" applyNumberFormat="1" applyBorder="1"/>
    <xf numFmtId="1" fontId="0" fillId="0" borderId="0" xfId="0" applyNumberFormat="1"/>
    <xf numFmtId="14" fontId="0" fillId="0" borderId="0" xfId="0" applyNumberFormat="1" applyBorder="1"/>
    <xf numFmtId="0" fontId="0" fillId="0" borderId="0" xfId="0" applyNumberFormat="1" applyBorder="1"/>
    <xf numFmtId="14" fontId="0" fillId="0" borderId="11" xfId="0" applyNumberFormat="1" applyBorder="1"/>
    <xf numFmtId="0" fontId="0" fillId="0" borderId="11" xfId="0" applyNumberFormat="1" applyBorder="1"/>
    <xf numFmtId="0" fontId="0" fillId="0" borderId="11" xfId="0" applyBorder="1"/>
    <xf numFmtId="0" fontId="5" fillId="7" borderId="12" xfId="0" applyFont="1" applyFill="1" applyBorder="1"/>
    <xf numFmtId="0" fontId="0" fillId="0" borderId="0" xfId="0" applyNumberFormat="1" applyFill="1" applyBorder="1"/>
    <xf numFmtId="166" fontId="0" fillId="0" borderId="0" xfId="0" applyNumberFormat="1" applyFont="1" applyBorder="1"/>
    <xf numFmtId="0" fontId="5" fillId="7" borderId="4" xfId="0" applyFont="1" applyFill="1" applyBorder="1"/>
    <xf numFmtId="166" fontId="0" fillId="0" borderId="11" xfId="0" applyNumberFormat="1" applyFont="1" applyBorder="1"/>
    <xf numFmtId="14" fontId="0" fillId="0" borderId="13" xfId="0" applyNumberFormat="1" applyBorder="1"/>
    <xf numFmtId="0" fontId="0" fillId="0" borderId="13" xfId="0" applyNumberFormat="1" applyBorder="1"/>
    <xf numFmtId="0" fontId="0" fillId="0" borderId="13" xfId="0" applyBorder="1"/>
    <xf numFmtId="166" fontId="0" fillId="0" borderId="13" xfId="0" applyNumberFormat="1" applyFont="1" applyBorder="1"/>
    <xf numFmtId="166" fontId="0" fillId="0" borderId="0" xfId="0" applyNumberFormat="1" applyBorder="1"/>
    <xf numFmtId="20" fontId="0" fillId="0" borderId="0" xfId="0" applyNumberFormat="1" applyBorder="1"/>
    <xf numFmtId="0" fontId="0" fillId="0" borderId="0" xfId="0" applyNumberFormat="1" applyFont="1" applyBorder="1"/>
    <xf numFmtId="44" fontId="9" fillId="0" borderId="0" xfId="0" applyNumberFormat="1" applyFont="1"/>
    <xf numFmtId="0" fontId="0" fillId="2" borderId="2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</cellXfs>
  <cellStyles count="2">
    <cellStyle name="Standard" xfId="0" builtinId="0"/>
    <cellStyle name="Währung" xfId="1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3</xdr:row>
          <xdr:rowOff>22860</xdr:rowOff>
        </xdr:from>
        <xdr:to>
          <xdr:col>5</xdr:col>
          <xdr:colOff>1295400</xdr:colOff>
          <xdr:row>4</xdr:row>
          <xdr:rowOff>175260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12258-DC58-45A5-AB42-B26113FFE780}">
  <sheetPr codeName="Tabelle1"/>
  <dimension ref="A1:N574"/>
  <sheetViews>
    <sheetView workbookViewId="0">
      <pane ySplit="1" topLeftCell="A173" activePane="bottomLeft" state="frozen"/>
      <selection pane="bottomLeft" activeCell="D181" sqref="D181"/>
    </sheetView>
  </sheetViews>
  <sheetFormatPr baseColWidth="10" defaultRowHeight="14.4" x14ac:dyDescent="0.3"/>
  <cols>
    <col min="1" max="1" width="3.6640625" bestFit="1" customWidth="1"/>
    <col min="2" max="2" width="7.33203125" bestFit="1" customWidth="1"/>
    <col min="3" max="3" width="11.109375" bestFit="1" customWidth="1"/>
    <col min="4" max="5" width="5.5546875" bestFit="1" customWidth="1"/>
    <col min="6" max="6" width="5.6640625" bestFit="1" customWidth="1"/>
    <col min="7" max="7" width="7.5546875" bestFit="1" customWidth="1"/>
    <col min="8" max="8" width="10.33203125" style="7" bestFit="1" customWidth="1"/>
    <col min="9" max="9" width="7.6640625" style="2" bestFit="1" customWidth="1"/>
    <col min="10" max="10" width="10.88671875" customWidth="1"/>
  </cols>
  <sheetData>
    <row r="1" spans="1:14" ht="15" thickBot="1" x14ac:dyDescent="0.35">
      <c r="A1" s="13" t="s">
        <v>52</v>
      </c>
      <c r="B1" s="14" t="s">
        <v>11</v>
      </c>
      <c r="C1" s="14" t="s">
        <v>10</v>
      </c>
      <c r="D1" s="14" t="s">
        <v>8</v>
      </c>
      <c r="E1" s="14" t="s">
        <v>9</v>
      </c>
      <c r="F1" s="14" t="s">
        <v>7</v>
      </c>
      <c r="G1" s="14" t="s">
        <v>49</v>
      </c>
      <c r="H1" s="14" t="s">
        <v>51</v>
      </c>
      <c r="I1" s="15" t="s">
        <v>50</v>
      </c>
      <c r="N1" s="3">
        <v>0.25</v>
      </c>
    </row>
    <row r="2" spans="1:14" x14ac:dyDescent="0.3">
      <c r="A2" s="51">
        <f>WEEKNUM(B2,21)</f>
        <v>39</v>
      </c>
      <c r="B2" s="1">
        <v>44470</v>
      </c>
      <c r="C2" t="s">
        <v>0</v>
      </c>
      <c r="D2" s="3">
        <v>0.38541666666666669</v>
      </c>
      <c r="E2" s="3">
        <v>0.5625</v>
      </c>
      <c r="F2" s="11">
        <v>2.0833333333333332E-2</v>
      </c>
      <c r="G2" s="12">
        <f>IF(E2="","",E2-D2-F2)</f>
        <v>0.15624999999999997</v>
      </c>
      <c r="H2" s="12">
        <f>IF(E2="","",E2-D2)</f>
        <v>0.17708333333333331</v>
      </c>
      <c r="I2" s="11">
        <f>IF(E2="","",IF(E2-D2&gt;=$N$1,E2-D2-$F$2,E2-D2))</f>
        <v>0.17708333333333331</v>
      </c>
    </row>
    <row r="3" spans="1:14" s="23" customFormat="1" x14ac:dyDescent="0.3">
      <c r="A3" s="51"/>
      <c r="B3" s="22">
        <v>44471</v>
      </c>
      <c r="C3" s="23" t="s">
        <v>1</v>
      </c>
      <c r="D3" s="24"/>
      <c r="E3" s="24"/>
      <c r="F3" s="25" t="s">
        <v>16</v>
      </c>
      <c r="G3" s="26">
        <f>SUM(G2)</f>
        <v>0.15624999999999997</v>
      </c>
      <c r="H3" s="26">
        <f t="shared" ref="H3:I3" si="0">SUM(H2)</f>
        <v>0.17708333333333331</v>
      </c>
      <c r="I3" s="25">
        <f t="shared" si="0"/>
        <v>0.17708333333333331</v>
      </c>
      <c r="L3" s="27"/>
    </row>
    <row r="4" spans="1:14" x14ac:dyDescent="0.3">
      <c r="A4" s="52"/>
      <c r="B4" s="1">
        <v>44472</v>
      </c>
      <c r="C4" t="s">
        <v>2</v>
      </c>
      <c r="D4" s="3"/>
      <c r="E4" s="3"/>
      <c r="F4" s="10"/>
      <c r="G4" s="12" t="str">
        <f t="shared" ref="G4:G9" si="1">IF(E4="","",E4-D4-F4)</f>
        <v/>
      </c>
      <c r="H4" s="12" t="str">
        <f t="shared" ref="H4:H65" si="2">IF(E4="","",E4-D4)</f>
        <v/>
      </c>
      <c r="I4" s="11" t="str">
        <f t="shared" ref="I4:I9" si="3">IF(E4="","",IF(E4-D4&gt;=$N$1,E4-D4-$F$2,E4-D4))</f>
        <v/>
      </c>
    </row>
    <row r="5" spans="1:14" s="5" customFormat="1" x14ac:dyDescent="0.3">
      <c r="A5" s="53">
        <f>WEEKNUM(B5,21)</f>
        <v>40</v>
      </c>
      <c r="B5" s="4">
        <v>44473</v>
      </c>
      <c r="C5" s="5" t="s">
        <v>3</v>
      </c>
      <c r="D5" s="6">
        <v>0.38541666666666669</v>
      </c>
      <c r="E5" s="6">
        <v>0.58333333333333337</v>
      </c>
      <c r="F5" s="17">
        <v>3.125E-2</v>
      </c>
      <c r="G5" s="18">
        <f t="shared" si="1"/>
        <v>0.16666666666666669</v>
      </c>
      <c r="H5" s="18">
        <f t="shared" si="2"/>
        <v>0.19791666666666669</v>
      </c>
      <c r="I5" s="19">
        <f t="shared" si="3"/>
        <v>0.19791666666666669</v>
      </c>
    </row>
    <row r="6" spans="1:14" x14ac:dyDescent="0.3">
      <c r="A6" s="54"/>
      <c r="B6" s="1">
        <v>44474</v>
      </c>
      <c r="C6" t="s">
        <v>4</v>
      </c>
      <c r="D6" s="3">
        <v>0.36458333333333331</v>
      </c>
      <c r="E6" s="3">
        <v>0.66666666666666663</v>
      </c>
      <c r="F6" s="10">
        <v>3.125E-2</v>
      </c>
      <c r="G6" s="12">
        <f t="shared" si="1"/>
        <v>0.27083333333333331</v>
      </c>
      <c r="H6" s="12">
        <f t="shared" si="2"/>
        <v>0.30208333333333331</v>
      </c>
      <c r="I6" s="11">
        <f t="shared" si="3"/>
        <v>0.28125</v>
      </c>
    </row>
    <row r="7" spans="1:14" x14ac:dyDescent="0.3">
      <c r="A7" s="54"/>
      <c r="B7" s="1">
        <v>44475</v>
      </c>
      <c r="C7" t="s">
        <v>5</v>
      </c>
      <c r="D7" s="3">
        <v>0.375</v>
      </c>
      <c r="E7" s="3">
        <v>0.67708333333333337</v>
      </c>
      <c r="F7" s="10">
        <v>2.0833333333333332E-2</v>
      </c>
      <c r="G7" s="12">
        <f t="shared" si="1"/>
        <v>0.28125000000000006</v>
      </c>
      <c r="H7" s="12">
        <f t="shared" si="2"/>
        <v>0.30208333333333337</v>
      </c>
      <c r="I7" s="11">
        <f t="shared" si="3"/>
        <v>0.28125000000000006</v>
      </c>
    </row>
    <row r="8" spans="1:14" x14ac:dyDescent="0.3">
      <c r="A8" s="54"/>
      <c r="B8" s="1">
        <v>44476</v>
      </c>
      <c r="C8" t="s">
        <v>6</v>
      </c>
      <c r="D8" s="3"/>
      <c r="E8" s="3"/>
      <c r="F8" s="10"/>
      <c r="G8" s="12" t="str">
        <f t="shared" si="1"/>
        <v/>
      </c>
      <c r="H8" s="12" t="str">
        <f t="shared" si="2"/>
        <v/>
      </c>
      <c r="I8" s="11" t="str">
        <f t="shared" si="3"/>
        <v/>
      </c>
    </row>
    <row r="9" spans="1:14" x14ac:dyDescent="0.3">
      <c r="A9" s="54"/>
      <c r="B9" s="1">
        <v>44477</v>
      </c>
      <c r="C9" t="s">
        <v>0</v>
      </c>
      <c r="D9" s="3">
        <v>0.36458333333333331</v>
      </c>
      <c r="E9" s="3">
        <v>0.58333333333333337</v>
      </c>
      <c r="F9" s="10">
        <v>2.0833333333333332E-2</v>
      </c>
      <c r="G9" s="12">
        <f t="shared" si="1"/>
        <v>0.19791666666666671</v>
      </c>
      <c r="H9" s="12">
        <f t="shared" si="2"/>
        <v>0.21875000000000006</v>
      </c>
      <c r="I9" s="11">
        <f t="shared" si="3"/>
        <v>0.21875000000000006</v>
      </c>
    </row>
    <row r="10" spans="1:14" s="23" customFormat="1" x14ac:dyDescent="0.3">
      <c r="A10" s="54"/>
      <c r="B10" s="22">
        <v>44478</v>
      </c>
      <c r="C10" s="23" t="s">
        <v>1</v>
      </c>
      <c r="D10" s="24"/>
      <c r="E10" s="24"/>
      <c r="F10" s="25" t="s">
        <v>12</v>
      </c>
      <c r="G10" s="26">
        <f>SUM(G5:G9)</f>
        <v>0.91666666666666674</v>
      </c>
      <c r="H10" s="26">
        <f>SUM(H5:H9)</f>
        <v>1.0208333333333335</v>
      </c>
      <c r="I10" s="25">
        <f>SUM(I5:I9)</f>
        <v>0.97916666666666674</v>
      </c>
    </row>
    <row r="11" spans="1:14" x14ac:dyDescent="0.3">
      <c r="A11" s="55"/>
      <c r="B11" s="1">
        <v>44479</v>
      </c>
      <c r="C11" t="s">
        <v>2</v>
      </c>
      <c r="D11" s="3"/>
      <c r="E11" s="3"/>
      <c r="F11" s="10"/>
      <c r="G11" s="12" t="str">
        <f t="shared" ref="G11:G16" si="4">IF(E11="","",E11-D11-F11)</f>
        <v/>
      </c>
      <c r="H11" s="12" t="str">
        <f t="shared" si="2"/>
        <v/>
      </c>
      <c r="I11" s="11" t="str">
        <f t="shared" ref="I11:I16" si="5">IF(E11="","",IF(E11-D11&gt;=$N$1,E11-D11-$F$2,E11-D11))</f>
        <v/>
      </c>
    </row>
    <row r="12" spans="1:14" s="5" customFormat="1" x14ac:dyDescent="0.3">
      <c r="A12" s="50">
        <f t="shared" ref="A12" si="6">WEEKNUM(B12,21)</f>
        <v>41</v>
      </c>
      <c r="B12" s="4">
        <v>44480</v>
      </c>
      <c r="C12" s="5" t="s">
        <v>3</v>
      </c>
      <c r="D12" s="6">
        <v>0.39583333333333331</v>
      </c>
      <c r="E12" s="6">
        <v>0.625</v>
      </c>
      <c r="F12" s="17">
        <v>2.0833333333333332E-2</v>
      </c>
      <c r="G12" s="18">
        <f t="shared" si="4"/>
        <v>0.20833333333333334</v>
      </c>
      <c r="H12" s="18">
        <f t="shared" si="2"/>
        <v>0.22916666666666669</v>
      </c>
      <c r="I12" s="19">
        <f t="shared" si="5"/>
        <v>0.22916666666666669</v>
      </c>
    </row>
    <row r="13" spans="1:14" x14ac:dyDescent="0.3">
      <c r="A13" s="51"/>
      <c r="B13" s="1">
        <v>44481</v>
      </c>
      <c r="C13" t="s">
        <v>4</v>
      </c>
      <c r="D13" s="3">
        <v>0.39583333333333331</v>
      </c>
      <c r="E13" s="3">
        <v>0.625</v>
      </c>
      <c r="F13" s="10">
        <v>3.125E-2</v>
      </c>
      <c r="G13" s="12">
        <f t="shared" si="4"/>
        <v>0.19791666666666669</v>
      </c>
      <c r="H13" s="12">
        <f t="shared" si="2"/>
        <v>0.22916666666666669</v>
      </c>
      <c r="I13" s="11">
        <f t="shared" si="5"/>
        <v>0.22916666666666669</v>
      </c>
    </row>
    <row r="14" spans="1:14" x14ac:dyDescent="0.3">
      <c r="A14" s="51"/>
      <c r="B14" s="1">
        <v>44482</v>
      </c>
      <c r="C14" t="s">
        <v>5</v>
      </c>
      <c r="D14" s="3">
        <v>0.41666666666666669</v>
      </c>
      <c r="E14" s="3">
        <v>0.5</v>
      </c>
      <c r="F14" s="10">
        <v>0</v>
      </c>
      <c r="G14" s="12">
        <f t="shared" si="4"/>
        <v>8.3333333333333315E-2</v>
      </c>
      <c r="H14" s="12">
        <f t="shared" si="2"/>
        <v>8.3333333333333315E-2</v>
      </c>
      <c r="I14" s="11">
        <f t="shared" si="5"/>
        <v>8.3333333333333315E-2</v>
      </c>
    </row>
    <row r="15" spans="1:14" x14ac:dyDescent="0.3">
      <c r="A15" s="51"/>
      <c r="B15" s="1">
        <v>44483</v>
      </c>
      <c r="C15" t="s">
        <v>6</v>
      </c>
      <c r="D15" s="3"/>
      <c r="E15" s="3"/>
      <c r="F15" s="10"/>
      <c r="G15" s="12" t="str">
        <f t="shared" si="4"/>
        <v/>
      </c>
      <c r="H15" s="12" t="str">
        <f t="shared" si="2"/>
        <v/>
      </c>
      <c r="I15" s="11" t="str">
        <f t="shared" si="5"/>
        <v/>
      </c>
    </row>
    <row r="16" spans="1:14" x14ac:dyDescent="0.3">
      <c r="A16" s="51"/>
      <c r="B16" s="1">
        <v>44484</v>
      </c>
      <c r="C16" t="s">
        <v>0</v>
      </c>
      <c r="D16" s="3">
        <v>0.39583333333333331</v>
      </c>
      <c r="E16" s="3">
        <v>0.58333333333333337</v>
      </c>
      <c r="F16" s="10"/>
      <c r="G16" s="12">
        <f t="shared" si="4"/>
        <v>0.18750000000000006</v>
      </c>
      <c r="H16" s="12">
        <f t="shared" si="2"/>
        <v>0.18750000000000006</v>
      </c>
      <c r="I16" s="11">
        <f t="shared" si="5"/>
        <v>0.18750000000000006</v>
      </c>
    </row>
    <row r="17" spans="1:10" s="23" customFormat="1" x14ac:dyDescent="0.3">
      <c r="A17" s="51"/>
      <c r="B17" s="22">
        <v>44485</v>
      </c>
      <c r="C17" s="23" t="s">
        <v>1</v>
      </c>
      <c r="D17" s="24"/>
      <c r="E17" s="24"/>
      <c r="F17" s="25" t="s">
        <v>13</v>
      </c>
      <c r="G17" s="26">
        <f>SUM(G12:G16)</f>
        <v>0.67708333333333337</v>
      </c>
      <c r="H17" s="26">
        <f>SUM(H12:H16)</f>
        <v>0.72916666666666674</v>
      </c>
      <c r="I17" s="25">
        <f t="shared" ref="I17" si="7">SUM(I12:I16)</f>
        <v>0.72916666666666674</v>
      </c>
    </row>
    <row r="18" spans="1:10" x14ac:dyDescent="0.3">
      <c r="A18" s="52"/>
      <c r="B18" s="1">
        <v>44486</v>
      </c>
      <c r="C18" t="s">
        <v>2</v>
      </c>
      <c r="D18" s="3"/>
      <c r="E18" s="3"/>
      <c r="F18" s="10"/>
      <c r="G18" s="12"/>
      <c r="H18" s="12"/>
      <c r="I18" s="11" t="str">
        <f t="shared" ref="I18:I23" si="8">IF(E18="","",IF(E18-D18&gt;=$N$1,E18-D18-$F$2,E18-D18))</f>
        <v/>
      </c>
    </row>
    <row r="19" spans="1:10" s="5" customFormat="1" x14ac:dyDescent="0.3">
      <c r="A19" s="53">
        <f>WEEKNUM(B19,21)</f>
        <v>42</v>
      </c>
      <c r="B19" s="4">
        <v>44487</v>
      </c>
      <c r="C19" s="5" t="s">
        <v>3</v>
      </c>
      <c r="D19" s="6"/>
      <c r="E19" s="6"/>
      <c r="F19" s="17"/>
      <c r="G19" s="18"/>
      <c r="H19" s="18" t="str">
        <f t="shared" si="2"/>
        <v/>
      </c>
      <c r="I19" s="19" t="str">
        <f t="shared" si="8"/>
        <v/>
      </c>
    </row>
    <row r="20" spans="1:10" x14ac:dyDescent="0.3">
      <c r="A20" s="54"/>
      <c r="B20" s="1">
        <v>44488</v>
      </c>
      <c r="C20" t="s">
        <v>4</v>
      </c>
      <c r="D20" s="3">
        <v>0.42708333333333331</v>
      </c>
      <c r="E20" s="3">
        <v>0.66666666666666663</v>
      </c>
      <c r="F20" s="10"/>
      <c r="G20" s="12"/>
      <c r="H20" s="12">
        <f t="shared" si="2"/>
        <v>0.23958333333333331</v>
      </c>
      <c r="I20" s="11">
        <f>IF(E20="","",IF(E20-D20*24&gt;=$N$1*24,E20-D20-$F$2,E20-D20))</f>
        <v>0.23958333333333331</v>
      </c>
      <c r="J20" s="3"/>
    </row>
    <row r="21" spans="1:10" x14ac:dyDescent="0.3">
      <c r="A21" s="54"/>
      <c r="B21" s="1">
        <v>44489</v>
      </c>
      <c r="C21" t="s">
        <v>5</v>
      </c>
      <c r="D21" s="3">
        <v>0.4375</v>
      </c>
      <c r="E21" s="3">
        <v>0.60416666666666663</v>
      </c>
      <c r="F21" s="10"/>
      <c r="G21" s="12"/>
      <c r="H21" s="12">
        <f t="shared" si="2"/>
        <v>0.16666666666666663</v>
      </c>
      <c r="I21" s="11">
        <f t="shared" si="8"/>
        <v>0.16666666666666663</v>
      </c>
    </row>
    <row r="22" spans="1:10" x14ac:dyDescent="0.3">
      <c r="A22" s="54"/>
      <c r="B22" s="1">
        <v>44490</v>
      </c>
      <c r="C22" t="s">
        <v>6</v>
      </c>
      <c r="D22" s="3"/>
      <c r="E22" s="3"/>
      <c r="F22" s="10"/>
      <c r="G22" s="12"/>
      <c r="H22" s="12" t="str">
        <f t="shared" si="2"/>
        <v/>
      </c>
      <c r="I22" s="11" t="str">
        <f t="shared" si="8"/>
        <v/>
      </c>
    </row>
    <row r="23" spans="1:10" x14ac:dyDescent="0.3">
      <c r="A23" s="54"/>
      <c r="B23" s="1">
        <v>44491</v>
      </c>
      <c r="C23" t="s">
        <v>0</v>
      </c>
      <c r="D23" s="3">
        <v>0.39583333333333331</v>
      </c>
      <c r="E23" s="3">
        <v>0.60416666666666663</v>
      </c>
      <c r="F23" s="10"/>
      <c r="G23" s="12"/>
      <c r="H23" s="12">
        <f t="shared" si="2"/>
        <v>0.20833333333333331</v>
      </c>
      <c r="I23" s="11">
        <f t="shared" si="8"/>
        <v>0.20833333333333331</v>
      </c>
    </row>
    <row r="24" spans="1:10" s="23" customFormat="1" x14ac:dyDescent="0.3">
      <c r="A24" s="54"/>
      <c r="B24" s="22">
        <v>44492</v>
      </c>
      <c r="C24" s="23" t="s">
        <v>1</v>
      </c>
      <c r="D24" s="24"/>
      <c r="E24" s="24"/>
      <c r="F24" s="25" t="s">
        <v>14</v>
      </c>
      <c r="G24" s="26">
        <f>SUM(G19:G23)</f>
        <v>0</v>
      </c>
      <c r="H24" s="26">
        <f t="shared" ref="H24:I24" si="9">SUM(H19:H23)</f>
        <v>0.61458333333333326</v>
      </c>
      <c r="I24" s="25">
        <f t="shared" si="9"/>
        <v>0.61458333333333326</v>
      </c>
    </row>
    <row r="25" spans="1:10" x14ac:dyDescent="0.3">
      <c r="A25" s="55"/>
      <c r="B25" s="1">
        <v>44493</v>
      </c>
      <c r="C25" t="s">
        <v>2</v>
      </c>
      <c r="D25" s="3"/>
      <c r="E25" s="3"/>
      <c r="F25" s="10"/>
      <c r="G25" s="12"/>
      <c r="H25" s="12" t="str">
        <f t="shared" si="2"/>
        <v/>
      </c>
      <c r="I25" s="11" t="str">
        <f t="shared" ref="I25:I30" si="10">IF(E25="","",IF(E25-D25&gt;=$N$1,E25-D25-$F$2,E25-D25))</f>
        <v/>
      </c>
    </row>
    <row r="26" spans="1:10" s="5" customFormat="1" x14ac:dyDescent="0.3">
      <c r="A26" s="50">
        <f t="shared" ref="A26" si="11">WEEKNUM(B26,21)</f>
        <v>43</v>
      </c>
      <c r="B26" s="4">
        <v>44494</v>
      </c>
      <c r="C26" s="5" t="s">
        <v>3</v>
      </c>
      <c r="D26" s="6"/>
      <c r="E26" s="6"/>
      <c r="F26" s="17"/>
      <c r="G26" s="18"/>
      <c r="H26" s="18" t="str">
        <f t="shared" si="2"/>
        <v/>
      </c>
      <c r="I26" s="19" t="str">
        <f t="shared" si="10"/>
        <v/>
      </c>
    </row>
    <row r="27" spans="1:10" x14ac:dyDescent="0.3">
      <c r="A27" s="51"/>
      <c r="B27" s="1">
        <v>44495</v>
      </c>
      <c r="C27" t="s">
        <v>4</v>
      </c>
      <c r="D27" s="3"/>
      <c r="E27" s="3"/>
      <c r="F27" s="10"/>
      <c r="G27" s="12"/>
      <c r="H27" s="12" t="str">
        <f t="shared" si="2"/>
        <v/>
      </c>
      <c r="I27" s="11" t="str">
        <f t="shared" si="10"/>
        <v/>
      </c>
    </row>
    <row r="28" spans="1:10" x14ac:dyDescent="0.3">
      <c r="A28" s="51"/>
      <c r="B28" s="1">
        <v>44496</v>
      </c>
      <c r="C28" t="s">
        <v>5</v>
      </c>
      <c r="D28" s="3">
        <v>0.5</v>
      </c>
      <c r="E28" s="3">
        <v>0.64583333333333337</v>
      </c>
      <c r="F28" s="10"/>
      <c r="G28" s="12"/>
      <c r="H28" s="12">
        <f t="shared" si="2"/>
        <v>0.14583333333333337</v>
      </c>
      <c r="I28" s="11">
        <f t="shared" si="10"/>
        <v>0.14583333333333337</v>
      </c>
    </row>
    <row r="29" spans="1:10" x14ac:dyDescent="0.3">
      <c r="A29" s="51"/>
      <c r="B29" s="1">
        <v>44497</v>
      </c>
      <c r="C29" t="s">
        <v>6</v>
      </c>
      <c r="D29" s="3">
        <v>0.58333333333333337</v>
      </c>
      <c r="E29" s="3">
        <v>0.66666666666666663</v>
      </c>
      <c r="F29" s="10"/>
      <c r="G29" s="12"/>
      <c r="H29" s="12">
        <f t="shared" si="2"/>
        <v>8.3333333333333259E-2</v>
      </c>
      <c r="I29" s="11">
        <f t="shared" si="10"/>
        <v>8.3333333333333259E-2</v>
      </c>
    </row>
    <row r="30" spans="1:10" x14ac:dyDescent="0.3">
      <c r="A30" s="51"/>
      <c r="B30" s="1">
        <v>44498</v>
      </c>
      <c r="C30" s="20" t="s">
        <v>0</v>
      </c>
      <c r="D30" s="21">
        <v>0.34375</v>
      </c>
      <c r="E30" s="3">
        <v>0.58333333333333337</v>
      </c>
      <c r="F30" s="10"/>
      <c r="G30" s="12"/>
      <c r="H30" s="12">
        <f t="shared" si="2"/>
        <v>0.23958333333333337</v>
      </c>
      <c r="I30" s="11">
        <f t="shared" si="10"/>
        <v>0.23958333333333337</v>
      </c>
    </row>
    <row r="31" spans="1:10" s="23" customFormat="1" x14ac:dyDescent="0.3">
      <c r="A31" s="51"/>
      <c r="B31" s="22">
        <v>44499</v>
      </c>
      <c r="C31" s="23" t="s">
        <v>1</v>
      </c>
      <c r="D31" s="24"/>
      <c r="E31" s="24"/>
      <c r="F31" s="25" t="s">
        <v>15</v>
      </c>
      <c r="G31" s="26">
        <f>SUM(G26:G30)</f>
        <v>0</v>
      </c>
      <c r="H31" s="26">
        <f t="shared" ref="H31:I31" si="12">SUM(H26:H30)</f>
        <v>0.46875</v>
      </c>
      <c r="I31" s="25">
        <f t="shared" si="12"/>
        <v>0.46875</v>
      </c>
    </row>
    <row r="32" spans="1:10" x14ac:dyDescent="0.3">
      <c r="A32" s="52"/>
      <c r="B32" s="1">
        <v>44500</v>
      </c>
      <c r="C32" t="s">
        <v>2</v>
      </c>
      <c r="D32" s="3"/>
      <c r="E32" s="3"/>
      <c r="F32" s="10"/>
      <c r="G32" s="12"/>
      <c r="H32" s="12" t="str">
        <f t="shared" si="2"/>
        <v/>
      </c>
      <c r="I32" s="11" t="str">
        <f t="shared" ref="I32:I37" si="13">IF(E32="","",IF(E32-D32&gt;=$N$1,E32-D32-$F$2,E32-D32))</f>
        <v/>
      </c>
    </row>
    <row r="33" spans="1:9" s="5" customFormat="1" x14ac:dyDescent="0.3">
      <c r="A33" s="53">
        <f t="shared" ref="A33" si="14">WEEKNUM(B33,21)</f>
        <v>44</v>
      </c>
      <c r="B33" s="4">
        <v>44501</v>
      </c>
      <c r="C33" s="5" t="s">
        <v>3</v>
      </c>
      <c r="D33" s="6"/>
      <c r="E33" s="6"/>
      <c r="F33" s="17"/>
      <c r="G33" s="18"/>
      <c r="H33" s="18" t="str">
        <f t="shared" si="2"/>
        <v/>
      </c>
      <c r="I33" s="19" t="str">
        <f t="shared" si="13"/>
        <v/>
      </c>
    </row>
    <row r="34" spans="1:9" x14ac:dyDescent="0.3">
      <c r="A34" s="54"/>
      <c r="B34" s="1">
        <v>44502</v>
      </c>
      <c r="C34" t="s">
        <v>4</v>
      </c>
      <c r="D34" s="3">
        <v>0.35416666666666669</v>
      </c>
      <c r="E34" s="3">
        <v>0.66666666666666663</v>
      </c>
      <c r="F34" s="10"/>
      <c r="G34" s="12"/>
      <c r="H34" s="12">
        <f>IF(E34="","",E34-D34)</f>
        <v>0.31249999999999994</v>
      </c>
      <c r="I34" s="11">
        <f t="shared" si="13"/>
        <v>0.29166666666666663</v>
      </c>
    </row>
    <row r="35" spans="1:9" x14ac:dyDescent="0.3">
      <c r="A35" s="54"/>
      <c r="B35" s="1">
        <v>44503</v>
      </c>
      <c r="C35" t="s">
        <v>5</v>
      </c>
      <c r="D35" s="3">
        <v>0.54166666666666663</v>
      </c>
      <c r="E35" s="3">
        <v>0.58333333333333337</v>
      </c>
      <c r="F35" s="10"/>
      <c r="G35" s="12"/>
      <c r="H35" s="12">
        <f t="shared" si="2"/>
        <v>4.1666666666666741E-2</v>
      </c>
      <c r="I35" s="11">
        <f t="shared" si="13"/>
        <v>4.1666666666666741E-2</v>
      </c>
    </row>
    <row r="36" spans="1:9" x14ac:dyDescent="0.3">
      <c r="A36" s="54"/>
      <c r="B36" s="1">
        <v>44504</v>
      </c>
      <c r="C36" t="s">
        <v>6</v>
      </c>
      <c r="D36" s="3">
        <v>0.58333333333333337</v>
      </c>
      <c r="E36" s="3">
        <v>0.64583333333333337</v>
      </c>
      <c r="F36" s="10"/>
      <c r="G36" s="12"/>
      <c r="H36" s="12">
        <f t="shared" si="2"/>
        <v>6.25E-2</v>
      </c>
      <c r="I36" s="11">
        <f t="shared" si="13"/>
        <v>6.25E-2</v>
      </c>
    </row>
    <row r="37" spans="1:9" x14ac:dyDescent="0.3">
      <c r="A37" s="54"/>
      <c r="B37" s="1">
        <v>44505</v>
      </c>
      <c r="C37" t="s">
        <v>0</v>
      </c>
      <c r="D37" s="3">
        <v>0.35416666666666669</v>
      </c>
      <c r="E37" s="3">
        <v>0.59375</v>
      </c>
      <c r="F37" s="10"/>
      <c r="G37" s="12"/>
      <c r="H37" s="12">
        <f t="shared" si="2"/>
        <v>0.23958333333333331</v>
      </c>
      <c r="I37" s="11">
        <f t="shared" si="13"/>
        <v>0.23958333333333331</v>
      </c>
    </row>
    <row r="38" spans="1:9" s="23" customFormat="1" x14ac:dyDescent="0.3">
      <c r="A38" s="54"/>
      <c r="B38" s="22">
        <v>44506</v>
      </c>
      <c r="C38" s="23" t="s">
        <v>1</v>
      </c>
      <c r="D38" s="24"/>
      <c r="E38" s="24"/>
      <c r="F38" s="25" t="s">
        <v>17</v>
      </c>
      <c r="G38" s="26">
        <f>SUM(G33:G37)</f>
        <v>0</v>
      </c>
      <c r="H38" s="26">
        <f t="shared" ref="H38:I38" si="15">SUM(H33:H37)</f>
        <v>0.65625</v>
      </c>
      <c r="I38" s="25">
        <f t="shared" si="15"/>
        <v>0.63541666666666674</v>
      </c>
    </row>
    <row r="39" spans="1:9" x14ac:dyDescent="0.3">
      <c r="A39" s="55"/>
      <c r="B39" s="1">
        <v>44507</v>
      </c>
      <c r="C39" t="s">
        <v>2</v>
      </c>
      <c r="D39" s="21"/>
      <c r="E39" s="21"/>
      <c r="F39" s="10"/>
      <c r="G39" s="12"/>
      <c r="H39" s="12" t="str">
        <f t="shared" si="2"/>
        <v/>
      </c>
      <c r="I39" s="11" t="str">
        <f t="shared" ref="I39:I44" si="16">IF(E39="","",IF(E39-D39&gt;=$N$1,E39-D39-$F$2,E39-D39))</f>
        <v/>
      </c>
    </row>
    <row r="40" spans="1:9" s="5" customFormat="1" x14ac:dyDescent="0.3">
      <c r="A40" s="50">
        <f t="shared" ref="A40" si="17">WEEKNUM(B40,21)</f>
        <v>45</v>
      </c>
      <c r="B40" s="4">
        <v>44508</v>
      </c>
      <c r="C40" s="5" t="s">
        <v>3</v>
      </c>
      <c r="D40" s="6"/>
      <c r="E40" s="6"/>
      <c r="F40" s="17"/>
      <c r="G40" s="18"/>
      <c r="H40" s="18" t="str">
        <f t="shared" si="2"/>
        <v/>
      </c>
      <c r="I40" s="19" t="str">
        <f t="shared" si="16"/>
        <v/>
      </c>
    </row>
    <row r="41" spans="1:9" x14ac:dyDescent="0.3">
      <c r="A41" s="51"/>
      <c r="B41" s="1">
        <v>44509</v>
      </c>
      <c r="C41" t="s">
        <v>4</v>
      </c>
      <c r="D41" s="3">
        <v>0.35416666666666669</v>
      </c>
      <c r="E41" s="3">
        <v>0.64583333333333337</v>
      </c>
      <c r="F41" s="10"/>
      <c r="G41" s="12"/>
      <c r="H41" s="12">
        <f t="shared" si="2"/>
        <v>0.29166666666666669</v>
      </c>
      <c r="I41" s="11">
        <f t="shared" si="16"/>
        <v>0.27083333333333337</v>
      </c>
    </row>
    <row r="42" spans="1:9" x14ac:dyDescent="0.3">
      <c r="A42" s="51"/>
      <c r="B42" s="1">
        <v>44510</v>
      </c>
      <c r="C42" t="s">
        <v>5</v>
      </c>
      <c r="D42" s="3"/>
      <c r="E42" s="3"/>
      <c r="F42" s="10"/>
      <c r="G42" s="12"/>
      <c r="H42" s="12" t="str">
        <f>IF(E42="","",E42-D42)</f>
        <v/>
      </c>
      <c r="I42" s="11" t="str">
        <f t="shared" si="16"/>
        <v/>
      </c>
    </row>
    <row r="43" spans="1:9" x14ac:dyDescent="0.3">
      <c r="A43" s="51"/>
      <c r="B43" s="1">
        <v>44511</v>
      </c>
      <c r="C43" t="s">
        <v>6</v>
      </c>
      <c r="D43" s="3">
        <v>0.36458333333333331</v>
      </c>
      <c r="E43" s="3">
        <v>0.67708333333333337</v>
      </c>
      <c r="F43" s="10"/>
      <c r="G43" s="12"/>
      <c r="H43" s="12">
        <f t="shared" si="2"/>
        <v>0.31250000000000006</v>
      </c>
      <c r="I43" s="11">
        <f t="shared" si="16"/>
        <v>0.29166666666666674</v>
      </c>
    </row>
    <row r="44" spans="1:9" x14ac:dyDescent="0.3">
      <c r="A44" s="51"/>
      <c r="B44" s="1">
        <v>44512</v>
      </c>
      <c r="C44" t="s">
        <v>0</v>
      </c>
      <c r="D44" s="3">
        <v>0.5625</v>
      </c>
      <c r="E44" s="3">
        <v>0.60416666666666663</v>
      </c>
      <c r="F44" s="10"/>
      <c r="G44" s="12"/>
      <c r="H44" s="12">
        <f t="shared" si="2"/>
        <v>4.166666666666663E-2</v>
      </c>
      <c r="I44" s="11">
        <f t="shared" si="16"/>
        <v>4.166666666666663E-2</v>
      </c>
    </row>
    <row r="45" spans="1:9" s="23" customFormat="1" x14ac:dyDescent="0.3">
      <c r="A45" s="51"/>
      <c r="B45" s="22">
        <v>44513</v>
      </c>
      <c r="C45" s="23" t="s">
        <v>1</v>
      </c>
      <c r="D45" s="24"/>
      <c r="E45" s="24"/>
      <c r="F45" s="25" t="s">
        <v>18</v>
      </c>
      <c r="G45" s="26">
        <f>SUM(G40:G44)</f>
        <v>0</v>
      </c>
      <c r="H45" s="26">
        <f t="shared" ref="H45:I45" si="18">SUM(H40:H44)</f>
        <v>0.64583333333333337</v>
      </c>
      <c r="I45" s="25">
        <f t="shared" si="18"/>
        <v>0.60416666666666674</v>
      </c>
    </row>
    <row r="46" spans="1:9" x14ac:dyDescent="0.3">
      <c r="A46" s="52"/>
      <c r="B46" s="1">
        <v>44514</v>
      </c>
      <c r="C46" t="s">
        <v>2</v>
      </c>
      <c r="D46" s="3"/>
      <c r="E46" s="3"/>
      <c r="F46" s="10"/>
      <c r="G46" s="12"/>
      <c r="H46" s="12" t="str">
        <f t="shared" si="2"/>
        <v/>
      </c>
      <c r="I46" s="11" t="str">
        <f t="shared" ref="I46:I51" si="19">IF(E46="","",IF(E46-D46&gt;=$N$1,E46-D46-$F$2,E46-D46))</f>
        <v/>
      </c>
    </row>
    <row r="47" spans="1:9" s="5" customFormat="1" x14ac:dyDescent="0.3">
      <c r="A47" s="53">
        <f t="shared" ref="A47" si="20">WEEKNUM(B47,21)</f>
        <v>46</v>
      </c>
      <c r="B47" s="4">
        <v>44515</v>
      </c>
      <c r="C47" s="5" t="s">
        <v>3</v>
      </c>
      <c r="D47" s="6"/>
      <c r="E47" s="6"/>
      <c r="F47" s="17"/>
      <c r="G47" s="18"/>
      <c r="H47" s="18" t="str">
        <f t="shared" si="2"/>
        <v/>
      </c>
      <c r="I47" s="19" t="str">
        <f t="shared" si="19"/>
        <v/>
      </c>
    </row>
    <row r="48" spans="1:9" x14ac:dyDescent="0.3">
      <c r="A48" s="54"/>
      <c r="B48" s="1">
        <v>44516</v>
      </c>
      <c r="C48" t="s">
        <v>4</v>
      </c>
      <c r="D48" s="3">
        <v>0.35416666666666669</v>
      </c>
      <c r="E48" s="3">
        <v>0.69791666666666663</v>
      </c>
      <c r="F48" s="10"/>
      <c r="G48" s="12"/>
      <c r="H48" s="12">
        <f t="shared" si="2"/>
        <v>0.34374999999999994</v>
      </c>
      <c r="I48" s="11">
        <f t="shared" si="19"/>
        <v>0.32291666666666663</v>
      </c>
    </row>
    <row r="49" spans="1:9" x14ac:dyDescent="0.3">
      <c r="A49" s="54"/>
      <c r="B49" s="1">
        <v>44517</v>
      </c>
      <c r="C49" t="s">
        <v>5</v>
      </c>
      <c r="D49" s="3"/>
      <c r="E49" s="3"/>
      <c r="F49" s="10"/>
      <c r="G49" s="12"/>
      <c r="H49" s="12" t="str">
        <f t="shared" si="2"/>
        <v/>
      </c>
      <c r="I49" s="11" t="str">
        <f t="shared" si="19"/>
        <v/>
      </c>
    </row>
    <row r="50" spans="1:9" x14ac:dyDescent="0.3">
      <c r="A50" s="54"/>
      <c r="B50" s="1">
        <v>44518</v>
      </c>
      <c r="C50" t="s">
        <v>6</v>
      </c>
      <c r="D50" s="3">
        <v>0.54166666666666663</v>
      </c>
      <c r="E50" s="3">
        <v>0.64583333333333337</v>
      </c>
      <c r="F50" s="10"/>
      <c r="G50" s="12"/>
      <c r="H50" s="12">
        <f t="shared" si="2"/>
        <v>0.10416666666666674</v>
      </c>
      <c r="I50" s="11">
        <f t="shared" si="19"/>
        <v>0.10416666666666674</v>
      </c>
    </row>
    <row r="51" spans="1:9" x14ac:dyDescent="0.3">
      <c r="A51" s="54"/>
      <c r="B51" s="1">
        <v>44519</v>
      </c>
      <c r="C51" t="s">
        <v>0</v>
      </c>
      <c r="D51" s="3">
        <v>0.38541666666666669</v>
      </c>
      <c r="E51" s="3">
        <v>0.6875</v>
      </c>
      <c r="F51" s="10"/>
      <c r="G51" s="12"/>
      <c r="H51" s="12">
        <f t="shared" si="2"/>
        <v>0.30208333333333331</v>
      </c>
      <c r="I51" s="11">
        <f t="shared" si="19"/>
        <v>0.28125</v>
      </c>
    </row>
    <row r="52" spans="1:9" s="23" customFormat="1" x14ac:dyDescent="0.3">
      <c r="A52" s="54"/>
      <c r="B52" s="22">
        <v>44520</v>
      </c>
      <c r="C52" s="23" t="s">
        <v>1</v>
      </c>
      <c r="D52" s="24"/>
      <c r="E52" s="24"/>
      <c r="F52" s="25" t="s">
        <v>19</v>
      </c>
      <c r="G52" s="26">
        <f>SUM(G47:G51)</f>
        <v>0</v>
      </c>
      <c r="H52" s="26">
        <f t="shared" ref="H52:I52" si="21">SUM(H47:H51)</f>
        <v>0.75</v>
      </c>
      <c r="I52" s="25">
        <f t="shared" si="21"/>
        <v>0.70833333333333337</v>
      </c>
    </row>
    <row r="53" spans="1:9" x14ac:dyDescent="0.3">
      <c r="A53" s="55"/>
      <c r="B53" s="1">
        <v>44521</v>
      </c>
      <c r="C53" t="s">
        <v>2</v>
      </c>
      <c r="D53" s="3"/>
      <c r="E53" s="3"/>
      <c r="F53" s="10"/>
      <c r="G53" s="12"/>
      <c r="H53" s="12" t="str">
        <f t="shared" si="2"/>
        <v/>
      </c>
      <c r="I53" s="11" t="str">
        <f t="shared" ref="I53:I58" si="22">IF(E53="","",IF(E53-D53&gt;=$N$1,E53-D53-$F$2,E53-D53))</f>
        <v/>
      </c>
    </row>
    <row r="54" spans="1:9" s="5" customFormat="1" x14ac:dyDescent="0.3">
      <c r="A54" s="50">
        <f t="shared" ref="A54" si="23">WEEKNUM(B54,21)</f>
        <v>47</v>
      </c>
      <c r="B54" s="4">
        <v>44522</v>
      </c>
      <c r="C54" s="5" t="s">
        <v>3</v>
      </c>
      <c r="D54" s="6"/>
      <c r="E54" s="6"/>
      <c r="F54" s="17"/>
      <c r="G54" s="18"/>
      <c r="H54" s="18"/>
      <c r="I54" s="19"/>
    </row>
    <row r="55" spans="1:9" x14ac:dyDescent="0.3">
      <c r="A55" s="51"/>
      <c r="B55" s="1">
        <v>44523</v>
      </c>
      <c r="C55" t="s">
        <v>4</v>
      </c>
      <c r="D55" s="3">
        <v>0.35416666666666669</v>
      </c>
      <c r="E55" s="3">
        <v>0.6875</v>
      </c>
      <c r="F55" s="10"/>
      <c r="G55" s="12"/>
      <c r="H55" s="12">
        <f t="shared" si="2"/>
        <v>0.33333333333333331</v>
      </c>
      <c r="I55" s="11">
        <f t="shared" si="22"/>
        <v>0.3125</v>
      </c>
    </row>
    <row r="56" spans="1:9" x14ac:dyDescent="0.3">
      <c r="A56" s="51"/>
      <c r="B56" s="1">
        <v>44524</v>
      </c>
      <c r="C56" t="s">
        <v>5</v>
      </c>
      <c r="D56" s="3">
        <v>0.54166666666666663</v>
      </c>
      <c r="E56" s="3">
        <v>0.66666666666666663</v>
      </c>
      <c r="F56" s="10"/>
      <c r="G56" s="12"/>
      <c r="H56" s="12">
        <f t="shared" si="2"/>
        <v>0.125</v>
      </c>
      <c r="I56" s="11">
        <f t="shared" si="22"/>
        <v>0.125</v>
      </c>
    </row>
    <row r="57" spans="1:9" x14ac:dyDescent="0.3">
      <c r="A57" s="51"/>
      <c r="B57" s="1">
        <v>44525</v>
      </c>
      <c r="C57" t="s">
        <v>6</v>
      </c>
      <c r="D57" s="3">
        <v>0.375</v>
      </c>
      <c r="E57" s="3">
        <v>0.5</v>
      </c>
      <c r="F57" s="10"/>
      <c r="G57" s="12"/>
      <c r="H57" s="12">
        <f t="shared" si="2"/>
        <v>0.125</v>
      </c>
      <c r="I57" s="11">
        <f t="shared" si="22"/>
        <v>0.125</v>
      </c>
    </row>
    <row r="58" spans="1:9" x14ac:dyDescent="0.3">
      <c r="A58" s="51"/>
      <c r="B58" s="1">
        <v>44526</v>
      </c>
      <c r="C58" t="s">
        <v>0</v>
      </c>
      <c r="D58" s="3">
        <v>0.41666666666666669</v>
      </c>
      <c r="E58" s="3">
        <v>0.45833333333333331</v>
      </c>
      <c r="F58" s="10"/>
      <c r="G58" s="12"/>
      <c r="H58" s="12">
        <f t="shared" si="2"/>
        <v>4.166666666666663E-2</v>
      </c>
      <c r="I58" s="11">
        <f t="shared" si="22"/>
        <v>4.166666666666663E-2</v>
      </c>
    </row>
    <row r="59" spans="1:9" s="23" customFormat="1" x14ac:dyDescent="0.3">
      <c r="A59" s="51"/>
      <c r="B59" s="22">
        <v>44527</v>
      </c>
      <c r="C59" s="23" t="s">
        <v>1</v>
      </c>
      <c r="D59" s="24"/>
      <c r="E59" s="24"/>
      <c r="F59" s="25" t="s">
        <v>20</v>
      </c>
      <c r="G59" s="26">
        <f>SUM(G54:G58)</f>
        <v>0</v>
      </c>
      <c r="H59" s="26">
        <f t="shared" ref="H59:I59" si="24">SUM(H54:H58)</f>
        <v>0.62499999999999989</v>
      </c>
      <c r="I59" s="25">
        <f t="shared" si="24"/>
        <v>0.60416666666666663</v>
      </c>
    </row>
    <row r="60" spans="1:9" x14ac:dyDescent="0.3">
      <c r="A60" s="52"/>
      <c r="B60" s="1">
        <v>44528</v>
      </c>
      <c r="C60" t="s">
        <v>2</v>
      </c>
      <c r="D60" s="3"/>
      <c r="E60" s="3"/>
      <c r="F60" s="10"/>
      <c r="G60" s="12"/>
      <c r="H60" s="12" t="str">
        <f t="shared" si="2"/>
        <v/>
      </c>
      <c r="I60" s="11" t="str">
        <f t="shared" ref="I60:I65" si="25">IF(E60="","",IF(E60-D60&gt;=$N$1,E60-D60-$F$2,E60-D60))</f>
        <v/>
      </c>
    </row>
    <row r="61" spans="1:9" s="5" customFormat="1" x14ac:dyDescent="0.3">
      <c r="A61" s="53">
        <f t="shared" ref="A61" si="26">WEEKNUM(B61,21)</f>
        <v>48</v>
      </c>
      <c r="B61" s="4">
        <v>44529</v>
      </c>
      <c r="C61" s="5" t="s">
        <v>3</v>
      </c>
      <c r="D61" s="6"/>
      <c r="E61" s="6"/>
      <c r="F61" s="17"/>
      <c r="G61" s="18"/>
      <c r="H61" s="18" t="str">
        <f t="shared" si="2"/>
        <v/>
      </c>
      <c r="I61" s="19" t="str">
        <f t="shared" si="25"/>
        <v/>
      </c>
    </row>
    <row r="62" spans="1:9" x14ac:dyDescent="0.3">
      <c r="A62" s="54"/>
      <c r="B62" s="1">
        <v>44530</v>
      </c>
      <c r="C62" t="s">
        <v>4</v>
      </c>
      <c r="D62" s="3">
        <v>0.375</v>
      </c>
      <c r="E62" s="3">
        <v>0.5</v>
      </c>
      <c r="F62" s="10"/>
      <c r="G62" s="12"/>
      <c r="H62" s="12">
        <f t="shared" si="2"/>
        <v>0.125</v>
      </c>
      <c r="I62" s="11">
        <f t="shared" si="25"/>
        <v>0.125</v>
      </c>
    </row>
    <row r="63" spans="1:9" x14ac:dyDescent="0.3">
      <c r="A63" s="54"/>
      <c r="B63" s="1">
        <v>44531</v>
      </c>
      <c r="C63" t="s">
        <v>5</v>
      </c>
      <c r="D63" s="3">
        <v>0.5625</v>
      </c>
      <c r="E63" s="3">
        <v>0.625</v>
      </c>
      <c r="F63" s="10"/>
      <c r="G63" s="12"/>
      <c r="H63" s="12">
        <f t="shared" si="2"/>
        <v>6.25E-2</v>
      </c>
      <c r="I63" s="11">
        <f t="shared" si="25"/>
        <v>6.25E-2</v>
      </c>
    </row>
    <row r="64" spans="1:9" x14ac:dyDescent="0.3">
      <c r="A64" s="54"/>
      <c r="B64" s="1">
        <v>44532</v>
      </c>
      <c r="C64" t="s">
        <v>6</v>
      </c>
      <c r="D64" s="3">
        <v>0.58333333333333337</v>
      </c>
      <c r="E64" s="3">
        <v>0.64583333333333337</v>
      </c>
      <c r="F64" s="10"/>
      <c r="G64" s="12"/>
      <c r="H64" s="12">
        <f t="shared" si="2"/>
        <v>6.25E-2</v>
      </c>
      <c r="I64" s="11">
        <f t="shared" si="25"/>
        <v>6.25E-2</v>
      </c>
    </row>
    <row r="65" spans="1:9" x14ac:dyDescent="0.3">
      <c r="A65" s="54"/>
      <c r="B65" s="1">
        <v>44533</v>
      </c>
      <c r="C65" t="s">
        <v>0</v>
      </c>
      <c r="D65" s="3"/>
      <c r="E65" s="3"/>
      <c r="F65" s="10"/>
      <c r="G65" s="12"/>
      <c r="H65" s="12" t="str">
        <f t="shared" si="2"/>
        <v/>
      </c>
      <c r="I65" s="11" t="str">
        <f t="shared" si="25"/>
        <v/>
      </c>
    </row>
    <row r="66" spans="1:9" s="23" customFormat="1" x14ac:dyDescent="0.3">
      <c r="A66" s="54"/>
      <c r="B66" s="22">
        <v>44534</v>
      </c>
      <c r="C66" s="23" t="s">
        <v>1</v>
      </c>
      <c r="D66" s="24"/>
      <c r="E66" s="24"/>
      <c r="F66" s="25" t="s">
        <v>21</v>
      </c>
      <c r="G66" s="26">
        <f>SUM(G61:G65)</f>
        <v>0</v>
      </c>
      <c r="H66" s="26">
        <f t="shared" ref="H66:I66" si="27">SUM(H61:H65)</f>
        <v>0.25</v>
      </c>
      <c r="I66" s="25">
        <f t="shared" si="27"/>
        <v>0.25</v>
      </c>
    </row>
    <row r="67" spans="1:9" x14ac:dyDescent="0.3">
      <c r="A67" s="55"/>
      <c r="B67" s="1">
        <v>44535</v>
      </c>
      <c r="C67" t="s">
        <v>2</v>
      </c>
      <c r="D67" s="3"/>
      <c r="E67" s="3"/>
      <c r="F67" s="10"/>
      <c r="G67" s="12"/>
      <c r="H67" s="12" t="str">
        <f t="shared" ref="H67:H130" si="28">IF(E67="","",E67-D67)</f>
        <v/>
      </c>
      <c r="I67" s="11" t="str">
        <f t="shared" ref="I67:I72" si="29">IF(E67="","",IF(E67-D67&gt;=$N$1,E67-D67-$F$2,E67-D67))</f>
        <v/>
      </c>
    </row>
    <row r="68" spans="1:9" s="5" customFormat="1" x14ac:dyDescent="0.3">
      <c r="A68" s="50">
        <f t="shared" ref="A68" si="30">WEEKNUM(B68,21)</f>
        <v>49</v>
      </c>
      <c r="B68" s="4">
        <v>44536</v>
      </c>
      <c r="C68" s="5" t="s">
        <v>3</v>
      </c>
      <c r="D68" s="6"/>
      <c r="E68" s="6"/>
      <c r="F68" s="17"/>
      <c r="G68" s="18"/>
      <c r="H68" s="18" t="str">
        <f t="shared" si="28"/>
        <v/>
      </c>
      <c r="I68" s="19" t="str">
        <f t="shared" si="29"/>
        <v/>
      </c>
    </row>
    <row r="69" spans="1:9" x14ac:dyDescent="0.3">
      <c r="A69" s="51"/>
      <c r="B69" s="1">
        <v>44537</v>
      </c>
      <c r="C69" t="s">
        <v>4</v>
      </c>
      <c r="D69" s="3">
        <v>0.375</v>
      </c>
      <c r="E69" s="3">
        <v>0.52083333333333337</v>
      </c>
      <c r="F69" s="10"/>
      <c r="G69" s="12"/>
      <c r="H69" s="12">
        <f t="shared" si="28"/>
        <v>0.14583333333333337</v>
      </c>
      <c r="I69" s="11">
        <f t="shared" si="29"/>
        <v>0.14583333333333337</v>
      </c>
    </row>
    <row r="70" spans="1:9" x14ac:dyDescent="0.3">
      <c r="A70" s="51"/>
      <c r="B70" s="1">
        <v>44538</v>
      </c>
      <c r="C70" t="s">
        <v>5</v>
      </c>
      <c r="D70" s="3">
        <v>0.33333333333333331</v>
      </c>
      <c r="E70" s="3">
        <v>0.45833333333333331</v>
      </c>
      <c r="F70" s="10"/>
      <c r="G70" s="12"/>
      <c r="H70" s="12">
        <f t="shared" si="28"/>
        <v>0.125</v>
      </c>
      <c r="I70" s="11">
        <f t="shared" si="29"/>
        <v>0.125</v>
      </c>
    </row>
    <row r="71" spans="1:9" x14ac:dyDescent="0.3">
      <c r="A71" s="51"/>
      <c r="B71" s="1">
        <v>44539</v>
      </c>
      <c r="C71" t="s">
        <v>6</v>
      </c>
      <c r="D71" s="3">
        <v>0.375</v>
      </c>
      <c r="E71" s="3">
        <v>0.64583333333333337</v>
      </c>
      <c r="F71" s="10"/>
      <c r="G71" s="12"/>
      <c r="H71" s="12">
        <f t="shared" si="28"/>
        <v>0.27083333333333337</v>
      </c>
      <c r="I71" s="11">
        <f t="shared" si="29"/>
        <v>0.25000000000000006</v>
      </c>
    </row>
    <row r="72" spans="1:9" x14ac:dyDescent="0.3">
      <c r="A72" s="51"/>
      <c r="B72" s="1">
        <v>44540</v>
      </c>
      <c r="C72" t="s">
        <v>0</v>
      </c>
      <c r="D72" s="3"/>
      <c r="E72" s="3"/>
      <c r="F72" s="10"/>
      <c r="G72" s="12"/>
      <c r="H72" s="12" t="str">
        <f t="shared" si="28"/>
        <v/>
      </c>
      <c r="I72" s="11" t="str">
        <f t="shared" si="29"/>
        <v/>
      </c>
    </row>
    <row r="73" spans="1:9" s="23" customFormat="1" x14ac:dyDescent="0.3">
      <c r="A73" s="51"/>
      <c r="B73" s="22">
        <v>44541</v>
      </c>
      <c r="C73" s="23" t="s">
        <v>1</v>
      </c>
      <c r="D73" s="24"/>
      <c r="E73" s="24"/>
      <c r="F73" s="25" t="s">
        <v>22</v>
      </c>
      <c r="G73" s="26">
        <f>SUM(G68:G72)</f>
        <v>0</v>
      </c>
      <c r="H73" s="26">
        <f t="shared" ref="H73:I73" si="31">SUM(H68:H72)</f>
        <v>0.54166666666666674</v>
      </c>
      <c r="I73" s="25">
        <f t="shared" si="31"/>
        <v>0.52083333333333348</v>
      </c>
    </row>
    <row r="74" spans="1:9" x14ac:dyDescent="0.3">
      <c r="A74" s="52"/>
      <c r="B74" s="1">
        <v>44542</v>
      </c>
      <c r="C74" t="s">
        <v>2</v>
      </c>
      <c r="D74" s="3"/>
      <c r="E74" s="3"/>
      <c r="F74" s="10"/>
      <c r="G74" s="12"/>
      <c r="H74" s="12" t="str">
        <f t="shared" si="28"/>
        <v/>
      </c>
      <c r="I74" s="11" t="str">
        <f t="shared" ref="I74:I79" si="32">IF(E74="","",IF(E74-D74&gt;=$N$1,E74-D74-$F$2,E74-D74))</f>
        <v/>
      </c>
    </row>
    <row r="75" spans="1:9" s="5" customFormat="1" x14ac:dyDescent="0.3">
      <c r="A75" s="53">
        <f t="shared" ref="A75" si="33">WEEKNUM(B75,21)</f>
        <v>50</v>
      </c>
      <c r="B75" s="4">
        <v>44543</v>
      </c>
      <c r="C75" s="5" t="s">
        <v>3</v>
      </c>
      <c r="D75" s="6"/>
      <c r="E75" s="6"/>
      <c r="F75" s="17"/>
      <c r="G75" s="18"/>
      <c r="H75" s="18" t="str">
        <f t="shared" si="28"/>
        <v/>
      </c>
      <c r="I75" s="19" t="str">
        <f t="shared" si="32"/>
        <v/>
      </c>
    </row>
    <row r="76" spans="1:9" x14ac:dyDescent="0.3">
      <c r="A76" s="54"/>
      <c r="B76" s="1">
        <v>44544</v>
      </c>
      <c r="C76" t="s">
        <v>4</v>
      </c>
      <c r="D76" s="3">
        <v>0.375</v>
      </c>
      <c r="E76" s="3">
        <v>0.41666666666666669</v>
      </c>
      <c r="F76" s="10"/>
      <c r="G76" s="12"/>
      <c r="H76" s="12">
        <f t="shared" si="28"/>
        <v>4.1666666666666685E-2</v>
      </c>
      <c r="I76" s="11">
        <f t="shared" si="32"/>
        <v>4.1666666666666685E-2</v>
      </c>
    </row>
    <row r="77" spans="1:9" x14ac:dyDescent="0.3">
      <c r="A77" s="54"/>
      <c r="B77" s="1">
        <v>44545</v>
      </c>
      <c r="C77" t="s">
        <v>5</v>
      </c>
      <c r="D77" s="3">
        <v>0.35416666666666669</v>
      </c>
      <c r="E77" s="3">
        <v>0.5</v>
      </c>
      <c r="F77" s="10"/>
      <c r="G77" s="12"/>
      <c r="H77" s="12">
        <f t="shared" si="28"/>
        <v>0.14583333333333331</v>
      </c>
      <c r="I77" s="11">
        <f t="shared" si="32"/>
        <v>0.14583333333333331</v>
      </c>
    </row>
    <row r="78" spans="1:9" x14ac:dyDescent="0.3">
      <c r="A78" s="54"/>
      <c r="B78" s="1">
        <v>44546</v>
      </c>
      <c r="C78" t="s">
        <v>6</v>
      </c>
      <c r="D78" s="3"/>
      <c r="E78" s="3"/>
      <c r="F78" s="10"/>
      <c r="G78" s="12"/>
      <c r="H78" s="12" t="str">
        <f t="shared" si="28"/>
        <v/>
      </c>
      <c r="I78" s="11" t="str">
        <f t="shared" si="32"/>
        <v/>
      </c>
    </row>
    <row r="79" spans="1:9" x14ac:dyDescent="0.3">
      <c r="A79" s="54"/>
      <c r="B79" s="1">
        <v>44547</v>
      </c>
      <c r="C79" t="s">
        <v>0</v>
      </c>
      <c r="D79" s="3">
        <v>0.35416666666666669</v>
      </c>
      <c r="E79" s="3">
        <v>0.4375</v>
      </c>
      <c r="F79" s="10"/>
      <c r="G79" s="12"/>
      <c r="H79" s="12">
        <f t="shared" si="28"/>
        <v>8.3333333333333315E-2</v>
      </c>
      <c r="I79" s="11">
        <f t="shared" si="32"/>
        <v>8.3333333333333315E-2</v>
      </c>
    </row>
    <row r="80" spans="1:9" s="23" customFormat="1" x14ac:dyDescent="0.3">
      <c r="A80" s="54"/>
      <c r="B80" s="22">
        <v>44548</v>
      </c>
      <c r="C80" s="23" t="s">
        <v>1</v>
      </c>
      <c r="D80" s="24"/>
      <c r="E80" s="24"/>
      <c r="F80" s="25" t="s">
        <v>23</v>
      </c>
      <c r="G80" s="26">
        <f>SUM(G75:G79)</f>
        <v>0</v>
      </c>
      <c r="H80" s="26">
        <f t="shared" ref="H80:I80" si="34">SUM(H75:H79)</f>
        <v>0.27083333333333331</v>
      </c>
      <c r="I80" s="25">
        <f t="shared" si="34"/>
        <v>0.27083333333333331</v>
      </c>
    </row>
    <row r="81" spans="1:9" x14ac:dyDescent="0.3">
      <c r="A81" s="55"/>
      <c r="B81" s="1">
        <v>44549</v>
      </c>
      <c r="C81" t="s">
        <v>2</v>
      </c>
      <c r="D81" s="3"/>
      <c r="E81" s="3"/>
      <c r="F81" s="10"/>
      <c r="G81" s="12"/>
      <c r="H81" s="12" t="str">
        <f t="shared" si="28"/>
        <v/>
      </c>
      <c r="I81" s="11" t="str">
        <f t="shared" ref="I81:I86" si="35">IF(E81="","",IF(E81-D81&gt;=$N$1,E81-D81-$F$2,E81-D81))</f>
        <v/>
      </c>
    </row>
    <row r="82" spans="1:9" s="5" customFormat="1" x14ac:dyDescent="0.3">
      <c r="A82" s="50">
        <f t="shared" ref="A82" si="36">WEEKNUM(B82,21)</f>
        <v>51</v>
      </c>
      <c r="B82" s="4">
        <v>44550</v>
      </c>
      <c r="C82" s="5" t="s">
        <v>3</v>
      </c>
      <c r="D82" s="6"/>
      <c r="E82" s="6"/>
      <c r="F82" s="17"/>
      <c r="G82" s="18"/>
      <c r="H82" s="18" t="str">
        <f t="shared" si="28"/>
        <v/>
      </c>
      <c r="I82" s="19" t="str">
        <f t="shared" si="35"/>
        <v/>
      </c>
    </row>
    <row r="83" spans="1:9" x14ac:dyDescent="0.3">
      <c r="A83" s="51"/>
      <c r="B83" s="1">
        <v>44551</v>
      </c>
      <c r="C83" t="s">
        <v>4</v>
      </c>
      <c r="D83" s="3">
        <v>0.38541666666666669</v>
      </c>
      <c r="E83" s="3">
        <v>0.625</v>
      </c>
      <c r="F83" s="10"/>
      <c r="G83" s="12"/>
      <c r="H83" s="12">
        <f t="shared" si="28"/>
        <v>0.23958333333333331</v>
      </c>
      <c r="I83" s="11">
        <f t="shared" si="35"/>
        <v>0.23958333333333331</v>
      </c>
    </row>
    <row r="84" spans="1:9" x14ac:dyDescent="0.3">
      <c r="A84" s="51"/>
      <c r="B84" s="1">
        <v>44552</v>
      </c>
      <c r="C84" t="s">
        <v>5</v>
      </c>
      <c r="D84" s="3">
        <v>0.35416666666666669</v>
      </c>
      <c r="E84" s="3">
        <v>0.5</v>
      </c>
      <c r="F84" s="10"/>
      <c r="G84" s="12"/>
      <c r="H84" s="12">
        <f t="shared" si="28"/>
        <v>0.14583333333333331</v>
      </c>
      <c r="I84" s="11">
        <f t="shared" si="35"/>
        <v>0.14583333333333331</v>
      </c>
    </row>
    <row r="85" spans="1:9" x14ac:dyDescent="0.3">
      <c r="A85" s="51"/>
      <c r="B85" s="1">
        <v>44553</v>
      </c>
      <c r="C85" t="s">
        <v>6</v>
      </c>
      <c r="D85" s="3"/>
      <c r="E85" s="3"/>
      <c r="F85" s="10"/>
      <c r="G85" s="12"/>
      <c r="H85" s="12" t="str">
        <f t="shared" si="28"/>
        <v/>
      </c>
      <c r="I85" s="11" t="str">
        <f t="shared" si="35"/>
        <v/>
      </c>
    </row>
    <row r="86" spans="1:9" x14ac:dyDescent="0.3">
      <c r="A86" s="51"/>
      <c r="B86" s="1">
        <v>44554</v>
      </c>
      <c r="C86" t="s">
        <v>0</v>
      </c>
      <c r="D86" s="3"/>
      <c r="E86" s="3"/>
      <c r="F86" s="10"/>
      <c r="G86" s="12"/>
      <c r="H86" s="12" t="str">
        <f t="shared" si="28"/>
        <v/>
      </c>
      <c r="I86" s="11" t="str">
        <f t="shared" si="35"/>
        <v/>
      </c>
    </row>
    <row r="87" spans="1:9" s="23" customFormat="1" x14ac:dyDescent="0.3">
      <c r="A87" s="51"/>
      <c r="B87" s="22">
        <v>44555</v>
      </c>
      <c r="C87" s="23" t="s">
        <v>1</v>
      </c>
      <c r="D87" s="24"/>
      <c r="E87" s="24"/>
      <c r="F87" s="25" t="s">
        <v>24</v>
      </c>
      <c r="G87" s="26">
        <f>SUM(G82:G86)</f>
        <v>0</v>
      </c>
      <c r="H87" s="26">
        <f t="shared" ref="H87:I87" si="37">SUM(H82:H86)</f>
        <v>0.38541666666666663</v>
      </c>
      <c r="I87" s="25">
        <f t="shared" si="37"/>
        <v>0.38541666666666663</v>
      </c>
    </row>
    <row r="88" spans="1:9" x14ac:dyDescent="0.3">
      <c r="A88" s="52"/>
      <c r="B88" s="1">
        <v>44556</v>
      </c>
      <c r="C88" t="s">
        <v>2</v>
      </c>
      <c r="D88" s="3"/>
      <c r="E88" s="3"/>
      <c r="F88" s="10"/>
      <c r="G88" s="12"/>
      <c r="H88" s="12" t="str">
        <f t="shared" si="28"/>
        <v/>
      </c>
      <c r="I88" s="11" t="str">
        <f t="shared" ref="I88:I93" si="38">IF(E88="","",IF(E88-D88&gt;=$N$1,E88-D88-$F$2,E88-D88))</f>
        <v/>
      </c>
    </row>
    <row r="89" spans="1:9" s="5" customFormat="1" x14ac:dyDescent="0.3">
      <c r="A89" s="53">
        <f t="shared" ref="A89" si="39">WEEKNUM(B89,21)</f>
        <v>52</v>
      </c>
      <c r="B89" s="4">
        <v>44557</v>
      </c>
      <c r="C89" s="5" t="s">
        <v>3</v>
      </c>
      <c r="D89" s="6"/>
      <c r="E89" s="6"/>
      <c r="F89" s="17"/>
      <c r="G89" s="18"/>
      <c r="H89" s="18" t="str">
        <f t="shared" si="28"/>
        <v/>
      </c>
      <c r="I89" s="19" t="str">
        <f t="shared" si="38"/>
        <v/>
      </c>
    </row>
    <row r="90" spans="1:9" x14ac:dyDescent="0.3">
      <c r="A90" s="54"/>
      <c r="B90" s="1">
        <v>44558</v>
      </c>
      <c r="C90" t="s">
        <v>4</v>
      </c>
      <c r="D90" s="3">
        <v>0.54166666666666663</v>
      </c>
      <c r="E90" s="3">
        <v>0.64583333333333337</v>
      </c>
      <c r="F90" s="10"/>
      <c r="G90" s="12"/>
      <c r="H90" s="12">
        <f t="shared" si="28"/>
        <v>0.10416666666666674</v>
      </c>
      <c r="I90" s="11">
        <f t="shared" si="38"/>
        <v>0.10416666666666674</v>
      </c>
    </row>
    <row r="91" spans="1:9" x14ac:dyDescent="0.3">
      <c r="A91" s="54"/>
      <c r="B91" s="1">
        <v>44559</v>
      </c>
      <c r="C91" t="s">
        <v>5</v>
      </c>
      <c r="D91" s="3">
        <v>0.29166666666666669</v>
      </c>
      <c r="E91" s="3">
        <v>0.5</v>
      </c>
      <c r="F91" s="10"/>
      <c r="G91" s="12"/>
      <c r="H91" s="12">
        <f t="shared" si="28"/>
        <v>0.20833333333333331</v>
      </c>
      <c r="I91" s="11">
        <f t="shared" si="38"/>
        <v>0.20833333333333331</v>
      </c>
    </row>
    <row r="92" spans="1:9" x14ac:dyDescent="0.3">
      <c r="A92" s="54"/>
      <c r="B92" s="1">
        <v>44560</v>
      </c>
      <c r="C92" t="s">
        <v>6</v>
      </c>
      <c r="D92" s="3">
        <v>0.33333333333333331</v>
      </c>
      <c r="E92" s="3">
        <v>0.47916666666666669</v>
      </c>
      <c r="F92" s="10"/>
      <c r="G92" s="12"/>
      <c r="H92" s="12">
        <f t="shared" si="28"/>
        <v>0.14583333333333337</v>
      </c>
      <c r="I92" s="11">
        <f t="shared" si="38"/>
        <v>0.14583333333333337</v>
      </c>
    </row>
    <row r="93" spans="1:9" x14ac:dyDescent="0.3">
      <c r="A93" s="54"/>
      <c r="B93" s="1">
        <v>44561</v>
      </c>
      <c r="C93" t="s">
        <v>0</v>
      </c>
      <c r="D93" s="3"/>
      <c r="E93" s="3"/>
      <c r="F93" s="10"/>
      <c r="G93" s="12"/>
      <c r="H93" s="12" t="str">
        <f t="shared" si="28"/>
        <v/>
      </c>
      <c r="I93" s="11" t="str">
        <f t="shared" si="38"/>
        <v/>
      </c>
    </row>
    <row r="94" spans="1:9" s="23" customFormat="1" x14ac:dyDescent="0.3">
      <c r="A94" s="54"/>
      <c r="B94" s="22">
        <v>44562</v>
      </c>
      <c r="C94" s="23" t="s">
        <v>1</v>
      </c>
      <c r="D94" s="24"/>
      <c r="E94" s="24"/>
      <c r="F94" s="25" t="s">
        <v>25</v>
      </c>
      <c r="G94" s="26">
        <f>SUM(G89:G93)</f>
        <v>0</v>
      </c>
      <c r="H94" s="26">
        <f t="shared" ref="H94:I94" si="40">SUM(H89:H93)</f>
        <v>0.45833333333333343</v>
      </c>
      <c r="I94" s="25">
        <f t="shared" si="40"/>
        <v>0.45833333333333343</v>
      </c>
    </row>
    <row r="95" spans="1:9" x14ac:dyDescent="0.3">
      <c r="A95" s="55"/>
      <c r="B95" s="1">
        <v>44563</v>
      </c>
      <c r="C95" t="s">
        <v>2</v>
      </c>
      <c r="D95" s="3"/>
      <c r="E95" s="3"/>
      <c r="F95" s="10"/>
      <c r="G95" s="12"/>
      <c r="H95" s="12" t="str">
        <f t="shared" si="28"/>
        <v/>
      </c>
      <c r="I95" s="11" t="str">
        <f t="shared" ref="I95:I100" si="41">IF(E95="","",IF(E95-D95&gt;=$N$1,E95-D95-$F$2,E95-D95))</f>
        <v/>
      </c>
    </row>
    <row r="96" spans="1:9" s="5" customFormat="1" x14ac:dyDescent="0.3">
      <c r="A96" s="50">
        <f t="shared" ref="A96:A159" si="42">WEEKNUM(B96,21)</f>
        <v>1</v>
      </c>
      <c r="B96" s="4">
        <v>44564</v>
      </c>
      <c r="C96" s="5" t="s">
        <v>3</v>
      </c>
      <c r="D96" s="6"/>
      <c r="E96" s="6"/>
      <c r="F96" s="17"/>
      <c r="G96" s="18"/>
      <c r="H96" s="18" t="str">
        <f t="shared" si="28"/>
        <v/>
      </c>
      <c r="I96" s="19" t="str">
        <f t="shared" si="41"/>
        <v/>
      </c>
    </row>
    <row r="97" spans="1:9" x14ac:dyDescent="0.3">
      <c r="A97" s="51"/>
      <c r="B97" s="1">
        <v>44565</v>
      </c>
      <c r="C97" t="s">
        <v>4</v>
      </c>
      <c r="D97" s="3">
        <v>0.33333333333333331</v>
      </c>
      <c r="E97" s="3">
        <v>0.54166666666666663</v>
      </c>
      <c r="F97" s="10"/>
      <c r="G97" s="12"/>
      <c r="H97" s="12">
        <f t="shared" si="28"/>
        <v>0.20833333333333331</v>
      </c>
      <c r="I97" s="11">
        <f t="shared" si="41"/>
        <v>0.20833333333333331</v>
      </c>
    </row>
    <row r="98" spans="1:9" x14ac:dyDescent="0.3">
      <c r="A98" s="51"/>
      <c r="B98" s="1">
        <v>44566</v>
      </c>
      <c r="C98" t="s">
        <v>5</v>
      </c>
      <c r="D98" s="3">
        <v>0.35416666666666669</v>
      </c>
      <c r="E98" s="3">
        <v>0.4375</v>
      </c>
      <c r="F98" s="10"/>
      <c r="G98" s="12"/>
      <c r="H98" s="12">
        <f t="shared" si="28"/>
        <v>8.3333333333333315E-2</v>
      </c>
      <c r="I98" s="11">
        <f t="shared" si="41"/>
        <v>8.3333333333333315E-2</v>
      </c>
    </row>
    <row r="99" spans="1:9" x14ac:dyDescent="0.3">
      <c r="A99" s="51"/>
      <c r="B99" s="1">
        <v>44567</v>
      </c>
      <c r="C99" t="s">
        <v>6</v>
      </c>
      <c r="D99" s="3"/>
      <c r="E99" s="3"/>
      <c r="F99" s="10"/>
      <c r="G99" s="12"/>
      <c r="H99" s="12" t="str">
        <f t="shared" si="28"/>
        <v/>
      </c>
      <c r="I99" s="11" t="str">
        <f t="shared" si="41"/>
        <v/>
      </c>
    </row>
    <row r="100" spans="1:9" x14ac:dyDescent="0.3">
      <c r="A100" s="51"/>
      <c r="B100" s="1">
        <v>44568</v>
      </c>
      <c r="C100" t="s">
        <v>0</v>
      </c>
      <c r="D100" s="3">
        <v>0.33333333333333331</v>
      </c>
      <c r="E100" s="3">
        <v>0.55208333333333337</v>
      </c>
      <c r="F100" s="10"/>
      <c r="G100" s="12"/>
      <c r="H100" s="12">
        <f t="shared" si="28"/>
        <v>0.21875000000000006</v>
      </c>
      <c r="I100" s="11">
        <f t="shared" si="41"/>
        <v>0.21875000000000006</v>
      </c>
    </row>
    <row r="101" spans="1:9" s="23" customFormat="1" x14ac:dyDescent="0.3">
      <c r="A101" s="51"/>
      <c r="B101" s="22">
        <v>44569</v>
      </c>
      <c r="C101" s="23" t="s">
        <v>1</v>
      </c>
      <c r="D101" s="24"/>
      <c r="E101" s="24"/>
      <c r="F101" s="25" t="s">
        <v>26</v>
      </c>
      <c r="G101" s="26">
        <f>SUM(G96:G100)</f>
        <v>0</v>
      </c>
      <c r="H101" s="26">
        <f t="shared" ref="H101:I101" si="43">SUM(H96:H100)</f>
        <v>0.51041666666666674</v>
      </c>
      <c r="I101" s="25">
        <f t="shared" si="43"/>
        <v>0.51041666666666674</v>
      </c>
    </row>
    <row r="102" spans="1:9" x14ac:dyDescent="0.3">
      <c r="A102" s="52"/>
      <c r="B102" s="1">
        <v>44570</v>
      </c>
      <c r="C102" t="s">
        <v>2</v>
      </c>
      <c r="D102" s="3"/>
      <c r="E102" s="3"/>
      <c r="F102" s="10"/>
      <c r="G102" s="12"/>
      <c r="H102" s="12" t="str">
        <f t="shared" si="28"/>
        <v/>
      </c>
      <c r="I102" s="11" t="str">
        <f t="shared" ref="I102:I107" si="44">IF(E102="","",IF(E102-D102&gt;=$N$1,E102-D102-$F$2,E102-D102))</f>
        <v/>
      </c>
    </row>
    <row r="103" spans="1:9" s="5" customFormat="1" x14ac:dyDescent="0.3">
      <c r="A103" s="53">
        <f t="shared" si="42"/>
        <v>2</v>
      </c>
      <c r="B103" s="4">
        <v>44571</v>
      </c>
      <c r="C103" s="5" t="s">
        <v>3</v>
      </c>
      <c r="D103" s="6"/>
      <c r="E103" s="6"/>
      <c r="F103" s="17"/>
      <c r="G103" s="18"/>
      <c r="H103" s="18" t="str">
        <f t="shared" si="28"/>
        <v/>
      </c>
      <c r="I103" s="19" t="str">
        <f t="shared" si="44"/>
        <v/>
      </c>
    </row>
    <row r="104" spans="1:9" x14ac:dyDescent="0.3">
      <c r="A104" s="54"/>
      <c r="B104" s="1">
        <v>44572</v>
      </c>
      <c r="C104" t="s">
        <v>4</v>
      </c>
      <c r="D104" s="3">
        <v>0.33333333333333331</v>
      </c>
      <c r="E104" s="3">
        <v>0.54166666666666663</v>
      </c>
      <c r="F104" s="10"/>
      <c r="G104" s="12"/>
      <c r="H104" s="12">
        <f t="shared" si="28"/>
        <v>0.20833333333333331</v>
      </c>
      <c r="I104" s="11">
        <f t="shared" si="44"/>
        <v>0.20833333333333331</v>
      </c>
    </row>
    <row r="105" spans="1:9" x14ac:dyDescent="0.3">
      <c r="A105" s="54"/>
      <c r="B105" s="1">
        <v>44573</v>
      </c>
      <c r="C105" t="s">
        <v>5</v>
      </c>
      <c r="D105" s="3"/>
      <c r="E105" s="3"/>
      <c r="F105" s="10"/>
      <c r="G105" s="12"/>
      <c r="H105" s="12" t="str">
        <f t="shared" si="28"/>
        <v/>
      </c>
      <c r="I105" s="11" t="str">
        <f t="shared" si="44"/>
        <v/>
      </c>
    </row>
    <row r="106" spans="1:9" x14ac:dyDescent="0.3">
      <c r="A106" s="54"/>
      <c r="B106" s="1">
        <v>44574</v>
      </c>
      <c r="C106" t="s">
        <v>6</v>
      </c>
      <c r="D106" s="3">
        <v>0.33333333333333331</v>
      </c>
      <c r="E106" s="3">
        <v>0.52083333333333337</v>
      </c>
      <c r="F106" s="10"/>
      <c r="G106" s="12"/>
      <c r="H106" s="12">
        <f t="shared" si="28"/>
        <v>0.18750000000000006</v>
      </c>
      <c r="I106" s="11">
        <f t="shared" si="44"/>
        <v>0.18750000000000006</v>
      </c>
    </row>
    <row r="107" spans="1:9" x14ac:dyDescent="0.3">
      <c r="A107" s="54"/>
      <c r="B107" s="1">
        <v>44575</v>
      </c>
      <c r="C107" t="s">
        <v>0</v>
      </c>
      <c r="D107" s="3">
        <v>0.375</v>
      </c>
      <c r="E107" s="3">
        <v>0.45833333333333331</v>
      </c>
      <c r="F107" s="10"/>
      <c r="G107" s="12"/>
      <c r="H107" s="12">
        <f t="shared" si="28"/>
        <v>8.3333333333333315E-2</v>
      </c>
      <c r="I107" s="11">
        <f t="shared" si="44"/>
        <v>8.3333333333333315E-2</v>
      </c>
    </row>
    <row r="108" spans="1:9" s="23" customFormat="1" x14ac:dyDescent="0.3">
      <c r="A108" s="54"/>
      <c r="B108" s="22">
        <v>44576</v>
      </c>
      <c r="C108" s="23" t="s">
        <v>1</v>
      </c>
      <c r="D108" s="24"/>
      <c r="E108" s="24"/>
      <c r="F108" s="25" t="s">
        <v>27</v>
      </c>
      <c r="G108" s="26">
        <f>SUM(G103:G107)</f>
        <v>0</v>
      </c>
      <c r="H108" s="26">
        <f t="shared" ref="H108:I108" si="45">SUM(H103:H107)</f>
        <v>0.47916666666666669</v>
      </c>
      <c r="I108" s="25">
        <f t="shared" si="45"/>
        <v>0.47916666666666669</v>
      </c>
    </row>
    <row r="109" spans="1:9" x14ac:dyDescent="0.3">
      <c r="A109" s="55"/>
      <c r="B109" s="1">
        <v>44577</v>
      </c>
      <c r="C109" t="s">
        <v>2</v>
      </c>
      <c r="D109" s="3"/>
      <c r="E109" s="3"/>
      <c r="F109" s="10"/>
      <c r="G109" s="12"/>
      <c r="H109" s="12" t="str">
        <f t="shared" si="28"/>
        <v/>
      </c>
      <c r="I109" s="11" t="str">
        <f t="shared" ref="I109:I114" si="46">IF(E109="","",IF(E109-D109&gt;=$N$1,E109-D109-$F$2,E109-D109))</f>
        <v/>
      </c>
    </row>
    <row r="110" spans="1:9" s="5" customFormat="1" x14ac:dyDescent="0.3">
      <c r="A110" s="50">
        <f t="shared" si="42"/>
        <v>3</v>
      </c>
      <c r="B110" s="4">
        <v>44578</v>
      </c>
      <c r="C110" s="5" t="s">
        <v>3</v>
      </c>
      <c r="D110" s="6"/>
      <c r="E110" s="6"/>
      <c r="F110" s="17"/>
      <c r="G110" s="18"/>
      <c r="H110" s="18" t="str">
        <f t="shared" si="28"/>
        <v/>
      </c>
      <c r="I110" s="19" t="str">
        <f t="shared" si="46"/>
        <v/>
      </c>
    </row>
    <row r="111" spans="1:9" x14ac:dyDescent="0.3">
      <c r="A111" s="51"/>
      <c r="B111" s="1">
        <v>44579</v>
      </c>
      <c r="C111" t="s">
        <v>4</v>
      </c>
      <c r="D111" s="3">
        <v>0.35416666666666669</v>
      </c>
      <c r="E111" s="3">
        <v>0.625</v>
      </c>
      <c r="F111" s="10"/>
      <c r="G111" s="12"/>
      <c r="H111" s="12">
        <f t="shared" si="28"/>
        <v>0.27083333333333331</v>
      </c>
      <c r="I111" s="11">
        <f t="shared" si="46"/>
        <v>0.24999999999999997</v>
      </c>
    </row>
    <row r="112" spans="1:9" x14ac:dyDescent="0.3">
      <c r="A112" s="51"/>
      <c r="B112" s="1">
        <v>44580</v>
      </c>
      <c r="C112" t="s">
        <v>5</v>
      </c>
      <c r="D112" s="3">
        <v>0.375</v>
      </c>
      <c r="E112" s="3">
        <v>0.54166666666666663</v>
      </c>
      <c r="F112" s="10"/>
      <c r="G112" s="12"/>
      <c r="H112" s="12">
        <f t="shared" si="28"/>
        <v>0.16666666666666663</v>
      </c>
      <c r="I112" s="11">
        <f t="shared" si="46"/>
        <v>0.16666666666666663</v>
      </c>
    </row>
    <row r="113" spans="1:9" x14ac:dyDescent="0.3">
      <c r="A113" s="51"/>
      <c r="B113" s="1">
        <v>44581</v>
      </c>
      <c r="C113" t="s">
        <v>6</v>
      </c>
      <c r="D113" s="3">
        <v>0.54166666666666663</v>
      </c>
      <c r="E113" s="3">
        <v>0.66666666666666663</v>
      </c>
      <c r="F113" s="10"/>
      <c r="G113" s="12"/>
      <c r="H113" s="12">
        <f t="shared" si="28"/>
        <v>0.125</v>
      </c>
      <c r="I113" s="11">
        <f t="shared" si="46"/>
        <v>0.125</v>
      </c>
    </row>
    <row r="114" spans="1:9" x14ac:dyDescent="0.3">
      <c r="A114" s="51"/>
      <c r="B114" s="1">
        <v>44582</v>
      </c>
      <c r="C114" t="s">
        <v>0</v>
      </c>
      <c r="D114" s="3"/>
      <c r="E114" s="3"/>
      <c r="F114" s="10"/>
      <c r="G114" s="12"/>
      <c r="H114" s="12" t="str">
        <f t="shared" si="28"/>
        <v/>
      </c>
      <c r="I114" s="11" t="str">
        <f t="shared" si="46"/>
        <v/>
      </c>
    </row>
    <row r="115" spans="1:9" s="23" customFormat="1" x14ac:dyDescent="0.3">
      <c r="A115" s="51"/>
      <c r="B115" s="22">
        <v>44583</v>
      </c>
      <c r="C115" s="23" t="s">
        <v>1</v>
      </c>
      <c r="D115" s="24"/>
      <c r="E115" s="24"/>
      <c r="F115" s="25" t="s">
        <v>28</v>
      </c>
      <c r="G115" s="26">
        <f>SUM(G110:G114)</f>
        <v>0</v>
      </c>
      <c r="H115" s="26">
        <f t="shared" ref="H115:I115" si="47">SUM(H110:H114)</f>
        <v>0.5625</v>
      </c>
      <c r="I115" s="25">
        <f t="shared" si="47"/>
        <v>0.54166666666666663</v>
      </c>
    </row>
    <row r="116" spans="1:9" x14ac:dyDescent="0.3">
      <c r="A116" s="52"/>
      <c r="B116" s="1">
        <v>44584</v>
      </c>
      <c r="C116" t="s">
        <v>2</v>
      </c>
      <c r="D116" s="3"/>
      <c r="E116" s="3"/>
      <c r="F116" s="10"/>
      <c r="G116" s="12"/>
      <c r="H116" s="12" t="str">
        <f t="shared" si="28"/>
        <v/>
      </c>
      <c r="I116" s="11" t="str">
        <f t="shared" ref="I116:I121" si="48">IF(E116="","",IF(E116-D116&gt;=$N$1,E116-D116-$F$2,E116-D116))</f>
        <v/>
      </c>
    </row>
    <row r="117" spans="1:9" s="5" customFormat="1" x14ac:dyDescent="0.3">
      <c r="A117" s="53">
        <f t="shared" si="42"/>
        <v>4</v>
      </c>
      <c r="B117" s="4">
        <v>44585</v>
      </c>
      <c r="C117" s="5" t="s">
        <v>3</v>
      </c>
      <c r="D117" s="6"/>
      <c r="E117" s="6"/>
      <c r="F117" s="17"/>
      <c r="G117" s="18"/>
      <c r="H117" s="18" t="str">
        <f t="shared" si="28"/>
        <v/>
      </c>
      <c r="I117" s="19" t="str">
        <f t="shared" si="48"/>
        <v/>
      </c>
    </row>
    <row r="118" spans="1:9" x14ac:dyDescent="0.3">
      <c r="A118" s="54"/>
      <c r="B118" s="1">
        <v>44586</v>
      </c>
      <c r="C118" t="s">
        <v>4</v>
      </c>
      <c r="D118" s="3">
        <v>0.33333333333333331</v>
      </c>
      <c r="E118" s="3">
        <v>0.66666666666666663</v>
      </c>
      <c r="F118" s="10"/>
      <c r="G118" s="12"/>
      <c r="H118" s="12">
        <f t="shared" si="28"/>
        <v>0.33333333333333331</v>
      </c>
      <c r="I118" s="11">
        <f t="shared" si="48"/>
        <v>0.3125</v>
      </c>
    </row>
    <row r="119" spans="1:9" x14ac:dyDescent="0.3">
      <c r="A119" s="54"/>
      <c r="B119" s="1">
        <v>44587</v>
      </c>
      <c r="C119" t="s">
        <v>5</v>
      </c>
      <c r="D119" s="3">
        <v>0.58333333333333337</v>
      </c>
      <c r="E119" s="3">
        <v>0.66666666666666663</v>
      </c>
      <c r="F119" s="10"/>
      <c r="G119" s="12"/>
      <c r="H119" s="12">
        <f t="shared" si="28"/>
        <v>8.3333333333333259E-2</v>
      </c>
      <c r="I119" s="11">
        <f t="shared" si="48"/>
        <v>8.3333333333333259E-2</v>
      </c>
    </row>
    <row r="120" spans="1:9" x14ac:dyDescent="0.3">
      <c r="A120" s="54"/>
      <c r="B120" s="1">
        <v>44588</v>
      </c>
      <c r="C120" t="s">
        <v>6</v>
      </c>
      <c r="D120" s="3">
        <v>0.375</v>
      </c>
      <c r="E120" s="3">
        <v>0.6875</v>
      </c>
      <c r="F120" s="10"/>
      <c r="G120" s="12"/>
      <c r="H120" s="12">
        <f t="shared" si="28"/>
        <v>0.3125</v>
      </c>
      <c r="I120" s="11">
        <f t="shared" si="48"/>
        <v>0.29166666666666669</v>
      </c>
    </row>
    <row r="121" spans="1:9" x14ac:dyDescent="0.3">
      <c r="A121" s="54"/>
      <c r="B121" s="1">
        <v>44589</v>
      </c>
      <c r="C121" t="s">
        <v>0</v>
      </c>
      <c r="D121" s="3"/>
      <c r="E121" s="3"/>
      <c r="F121" s="10"/>
      <c r="G121" s="12"/>
      <c r="H121" s="12" t="str">
        <f t="shared" si="28"/>
        <v/>
      </c>
      <c r="I121" s="11" t="str">
        <f t="shared" si="48"/>
        <v/>
      </c>
    </row>
    <row r="122" spans="1:9" s="23" customFormat="1" x14ac:dyDescent="0.3">
      <c r="A122" s="54"/>
      <c r="B122" s="22">
        <v>44590</v>
      </c>
      <c r="C122" s="23" t="s">
        <v>1</v>
      </c>
      <c r="D122" s="24"/>
      <c r="E122" s="24"/>
      <c r="F122" s="25" t="s">
        <v>29</v>
      </c>
      <c r="G122" s="26">
        <f>SUM(G117:G121)</f>
        <v>0</v>
      </c>
      <c r="H122" s="26">
        <f t="shared" ref="H122:I122" si="49">SUM(H117:H121)</f>
        <v>0.72916666666666652</v>
      </c>
      <c r="I122" s="25">
        <f t="shared" si="49"/>
        <v>0.6875</v>
      </c>
    </row>
    <row r="123" spans="1:9" x14ac:dyDescent="0.3">
      <c r="A123" s="55"/>
      <c r="B123" s="1">
        <v>44591</v>
      </c>
      <c r="C123" t="s">
        <v>2</v>
      </c>
      <c r="D123" s="3"/>
      <c r="E123" s="3"/>
      <c r="F123" s="10"/>
      <c r="G123" s="12"/>
      <c r="H123" s="12" t="str">
        <f t="shared" si="28"/>
        <v/>
      </c>
      <c r="I123" s="11" t="str">
        <f t="shared" ref="I123:I128" si="50">IF(E123="","",IF(E123-D123&gt;=$N$1,E123-D123-$F$2,E123-D123))</f>
        <v/>
      </c>
    </row>
    <row r="124" spans="1:9" s="5" customFormat="1" x14ac:dyDescent="0.3">
      <c r="A124" s="50">
        <f t="shared" si="42"/>
        <v>5</v>
      </c>
      <c r="B124" s="4">
        <v>44592</v>
      </c>
      <c r="C124" s="5" t="s">
        <v>3</v>
      </c>
      <c r="D124" s="6"/>
      <c r="E124" s="6"/>
      <c r="F124" s="17"/>
      <c r="G124" s="18"/>
      <c r="H124" s="18" t="str">
        <f t="shared" si="28"/>
        <v/>
      </c>
      <c r="I124" s="19" t="str">
        <f t="shared" si="50"/>
        <v/>
      </c>
    </row>
    <row r="125" spans="1:9" x14ac:dyDescent="0.3">
      <c r="A125" s="51"/>
      <c r="B125" s="1">
        <v>44593</v>
      </c>
      <c r="C125" t="s">
        <v>4</v>
      </c>
      <c r="D125" s="3">
        <v>0.54166666666666663</v>
      </c>
      <c r="E125" s="3">
        <v>0.64583333333333337</v>
      </c>
      <c r="F125" s="10"/>
      <c r="G125" s="12"/>
      <c r="H125" s="12">
        <f t="shared" si="28"/>
        <v>0.10416666666666674</v>
      </c>
      <c r="I125" s="11">
        <f t="shared" si="50"/>
        <v>0.10416666666666674</v>
      </c>
    </row>
    <row r="126" spans="1:9" x14ac:dyDescent="0.3">
      <c r="A126" s="51"/>
      <c r="B126" s="1">
        <v>44594</v>
      </c>
      <c r="C126" t="s">
        <v>5</v>
      </c>
      <c r="D126" s="3"/>
      <c r="E126" s="3"/>
      <c r="F126" s="10"/>
      <c r="G126" s="12"/>
      <c r="H126" s="12" t="str">
        <f t="shared" si="28"/>
        <v/>
      </c>
      <c r="I126" s="11" t="str">
        <f t="shared" si="50"/>
        <v/>
      </c>
    </row>
    <row r="127" spans="1:9" x14ac:dyDescent="0.3">
      <c r="A127" s="51"/>
      <c r="B127" s="1">
        <v>44595</v>
      </c>
      <c r="C127" t="s">
        <v>6</v>
      </c>
      <c r="D127" s="3">
        <v>0.33333333333333331</v>
      </c>
      <c r="E127" s="3">
        <v>0.70833333333333337</v>
      </c>
      <c r="F127" s="10"/>
      <c r="G127" s="12"/>
      <c r="H127" s="12">
        <f t="shared" si="28"/>
        <v>0.37500000000000006</v>
      </c>
      <c r="I127" s="11">
        <f t="shared" si="50"/>
        <v>0.35416666666666674</v>
      </c>
    </row>
    <row r="128" spans="1:9" x14ac:dyDescent="0.3">
      <c r="A128" s="51"/>
      <c r="B128" s="1">
        <v>44596</v>
      </c>
      <c r="C128" t="s">
        <v>0</v>
      </c>
      <c r="D128" s="3"/>
      <c r="E128" s="3"/>
      <c r="F128" s="10"/>
      <c r="G128" s="12"/>
      <c r="H128" s="12" t="str">
        <f t="shared" si="28"/>
        <v/>
      </c>
      <c r="I128" s="11" t="str">
        <f t="shared" si="50"/>
        <v/>
      </c>
    </row>
    <row r="129" spans="1:9" s="23" customFormat="1" x14ac:dyDescent="0.3">
      <c r="A129" s="51"/>
      <c r="B129" s="22">
        <v>44597</v>
      </c>
      <c r="C129" s="23" t="s">
        <v>1</v>
      </c>
      <c r="D129" s="24"/>
      <c r="E129" s="24"/>
      <c r="F129" s="25" t="s">
        <v>30</v>
      </c>
      <c r="G129" s="26">
        <f>SUM(G124:G128)</f>
        <v>0</v>
      </c>
      <c r="H129" s="26">
        <f t="shared" ref="H129:I129" si="51">SUM(H124:H128)</f>
        <v>0.4791666666666668</v>
      </c>
      <c r="I129" s="25">
        <f t="shared" si="51"/>
        <v>0.45833333333333348</v>
      </c>
    </row>
    <row r="130" spans="1:9" x14ac:dyDescent="0.3">
      <c r="A130" s="52"/>
      <c r="B130" s="1">
        <v>44598</v>
      </c>
      <c r="C130" t="s">
        <v>2</v>
      </c>
      <c r="D130" s="3"/>
      <c r="E130" s="3"/>
      <c r="F130" s="10"/>
      <c r="G130" s="12"/>
      <c r="H130" s="12" t="str">
        <f t="shared" si="28"/>
        <v/>
      </c>
      <c r="I130" s="11" t="str">
        <f t="shared" ref="I130:I135" si="52">IF(E130="","",IF(E130-D130&gt;=$N$1,E130-D130-$F$2,E130-D130))</f>
        <v/>
      </c>
    </row>
    <row r="131" spans="1:9" s="5" customFormat="1" x14ac:dyDescent="0.3">
      <c r="A131" s="53">
        <f t="shared" si="42"/>
        <v>6</v>
      </c>
      <c r="B131" s="4">
        <v>44599</v>
      </c>
      <c r="C131" s="5" t="s">
        <v>3</v>
      </c>
      <c r="D131" s="6"/>
      <c r="E131" s="6"/>
      <c r="F131" s="17"/>
      <c r="G131" s="18"/>
      <c r="H131" s="18" t="str">
        <f t="shared" ref="H131:H184" si="53">IF(E131="","",E131-D131)</f>
        <v/>
      </c>
      <c r="I131" s="19" t="str">
        <f t="shared" si="52"/>
        <v/>
      </c>
    </row>
    <row r="132" spans="1:9" x14ac:dyDescent="0.3">
      <c r="A132" s="54"/>
      <c r="B132" s="1">
        <v>44600</v>
      </c>
      <c r="C132" t="s">
        <v>4</v>
      </c>
      <c r="D132" s="3"/>
      <c r="E132" s="3"/>
      <c r="F132" s="10"/>
      <c r="G132" s="12"/>
      <c r="H132" s="12" t="str">
        <f t="shared" si="53"/>
        <v/>
      </c>
      <c r="I132" s="11" t="str">
        <f t="shared" si="52"/>
        <v/>
      </c>
    </row>
    <row r="133" spans="1:9" x14ac:dyDescent="0.3">
      <c r="A133" s="54"/>
      <c r="B133" s="1">
        <v>44601</v>
      </c>
      <c r="C133" t="s">
        <v>5</v>
      </c>
      <c r="D133" s="3">
        <v>0.35416666666666669</v>
      </c>
      <c r="E133" s="3">
        <v>0.58333333333333337</v>
      </c>
      <c r="F133" s="10"/>
      <c r="G133" s="12"/>
      <c r="H133" s="12">
        <f t="shared" si="53"/>
        <v>0.22916666666666669</v>
      </c>
      <c r="I133" s="11">
        <f t="shared" si="52"/>
        <v>0.22916666666666669</v>
      </c>
    </row>
    <row r="134" spans="1:9" x14ac:dyDescent="0.3">
      <c r="A134" s="54"/>
      <c r="B134" s="1">
        <v>44602</v>
      </c>
      <c r="C134" t="s">
        <v>6</v>
      </c>
      <c r="D134" s="3">
        <v>0.42708333333333331</v>
      </c>
      <c r="E134" s="3">
        <v>0.66666666666666663</v>
      </c>
      <c r="F134" s="10"/>
      <c r="G134" s="12"/>
      <c r="H134" s="12">
        <f t="shared" si="53"/>
        <v>0.23958333333333331</v>
      </c>
      <c r="I134" s="11">
        <f t="shared" si="52"/>
        <v>0.23958333333333331</v>
      </c>
    </row>
    <row r="135" spans="1:9" x14ac:dyDescent="0.3">
      <c r="A135" s="54"/>
      <c r="B135" s="1">
        <v>44603</v>
      </c>
      <c r="C135" t="s">
        <v>0</v>
      </c>
      <c r="D135" s="3"/>
      <c r="E135" s="3"/>
      <c r="F135" s="10"/>
      <c r="G135" s="12"/>
      <c r="H135" s="12" t="str">
        <f t="shared" si="53"/>
        <v/>
      </c>
      <c r="I135" s="11" t="str">
        <f t="shared" si="52"/>
        <v/>
      </c>
    </row>
    <row r="136" spans="1:9" s="23" customFormat="1" x14ac:dyDescent="0.3">
      <c r="A136" s="54"/>
      <c r="B136" s="22">
        <v>44604</v>
      </c>
      <c r="C136" s="23" t="s">
        <v>1</v>
      </c>
      <c r="D136" s="24"/>
      <c r="E136" s="24"/>
      <c r="F136" s="25" t="s">
        <v>31</v>
      </c>
      <c r="G136" s="26">
        <f>SUM(G131:G135)</f>
        <v>0</v>
      </c>
      <c r="H136" s="26">
        <f t="shared" ref="H136:I136" si="54">SUM(H131:H135)</f>
        <v>0.46875</v>
      </c>
      <c r="I136" s="25">
        <f t="shared" si="54"/>
        <v>0.46875</v>
      </c>
    </row>
    <row r="137" spans="1:9" x14ac:dyDescent="0.3">
      <c r="A137" s="55"/>
      <c r="B137" s="1">
        <v>44605</v>
      </c>
      <c r="C137" t="s">
        <v>2</v>
      </c>
      <c r="D137" s="3"/>
      <c r="E137" s="3"/>
      <c r="F137" s="10"/>
      <c r="G137" s="12"/>
      <c r="H137" s="12" t="str">
        <f t="shared" si="53"/>
        <v/>
      </c>
      <c r="I137" s="11" t="str">
        <f t="shared" ref="I137:I142" si="55">IF(E137="","",IF(E137-D137&gt;=$N$1,E137-D137-$F$2,E137-D137))</f>
        <v/>
      </c>
    </row>
    <row r="138" spans="1:9" s="5" customFormat="1" x14ac:dyDescent="0.3">
      <c r="A138" s="50">
        <f t="shared" si="42"/>
        <v>7</v>
      </c>
      <c r="B138" s="4">
        <v>44606</v>
      </c>
      <c r="C138" s="5" t="s">
        <v>3</v>
      </c>
      <c r="D138" s="6"/>
      <c r="E138" s="6"/>
      <c r="F138" s="17"/>
      <c r="G138" s="18"/>
      <c r="H138" s="18" t="str">
        <f t="shared" si="53"/>
        <v/>
      </c>
      <c r="I138" s="19" t="str">
        <f t="shared" si="55"/>
        <v/>
      </c>
    </row>
    <row r="139" spans="1:9" x14ac:dyDescent="0.3">
      <c r="A139" s="51"/>
      <c r="B139" s="1">
        <v>44607</v>
      </c>
      <c r="C139" t="s">
        <v>4</v>
      </c>
      <c r="D139" s="3"/>
      <c r="E139" s="3"/>
      <c r="F139" s="10"/>
      <c r="G139" s="12"/>
      <c r="H139" s="12" t="str">
        <f t="shared" si="53"/>
        <v/>
      </c>
      <c r="I139" s="11" t="str">
        <f t="shared" si="55"/>
        <v/>
      </c>
    </row>
    <row r="140" spans="1:9" x14ac:dyDescent="0.3">
      <c r="A140" s="51"/>
      <c r="B140" s="1">
        <v>44608</v>
      </c>
      <c r="C140" t="s">
        <v>5</v>
      </c>
      <c r="D140" s="3">
        <v>0.375</v>
      </c>
      <c r="E140" s="3">
        <v>0.66666666666666663</v>
      </c>
      <c r="F140" s="10"/>
      <c r="G140" s="12"/>
      <c r="H140" s="12">
        <f t="shared" si="53"/>
        <v>0.29166666666666663</v>
      </c>
      <c r="I140" s="11">
        <f t="shared" si="55"/>
        <v>0.27083333333333331</v>
      </c>
    </row>
    <row r="141" spans="1:9" x14ac:dyDescent="0.3">
      <c r="A141" s="51"/>
      <c r="B141" s="1">
        <v>44609</v>
      </c>
      <c r="C141" t="s">
        <v>6</v>
      </c>
      <c r="D141" s="3">
        <v>0.54166666666666663</v>
      </c>
      <c r="E141" s="3">
        <v>0.58333333333333337</v>
      </c>
      <c r="F141" s="10"/>
      <c r="G141" s="12"/>
      <c r="H141" s="12">
        <f t="shared" si="53"/>
        <v>4.1666666666666741E-2</v>
      </c>
      <c r="I141" s="11">
        <f t="shared" si="55"/>
        <v>4.1666666666666741E-2</v>
      </c>
    </row>
    <row r="142" spans="1:9" x14ac:dyDescent="0.3">
      <c r="A142" s="51"/>
      <c r="B142" s="1">
        <v>44610</v>
      </c>
      <c r="C142" t="s">
        <v>0</v>
      </c>
      <c r="D142" s="3"/>
      <c r="E142" s="3"/>
      <c r="F142" s="10"/>
      <c r="G142" s="12"/>
      <c r="H142" s="12" t="str">
        <f t="shared" si="53"/>
        <v/>
      </c>
      <c r="I142" s="11" t="str">
        <f t="shared" si="55"/>
        <v/>
      </c>
    </row>
    <row r="143" spans="1:9" s="23" customFormat="1" x14ac:dyDescent="0.3">
      <c r="A143" s="51"/>
      <c r="B143" s="22">
        <v>44611</v>
      </c>
      <c r="C143" s="23" t="s">
        <v>1</v>
      </c>
      <c r="D143" s="24"/>
      <c r="E143" s="24"/>
      <c r="F143" s="25" t="s">
        <v>32</v>
      </c>
      <c r="G143" s="26">
        <f>SUM(G138:G142)</f>
        <v>0</v>
      </c>
      <c r="H143" s="26">
        <f>SUM(H138:H142)</f>
        <v>0.33333333333333337</v>
      </c>
      <c r="I143" s="25">
        <f>SUM(I138:I142)</f>
        <v>0.31250000000000006</v>
      </c>
    </row>
    <row r="144" spans="1:9" x14ac:dyDescent="0.3">
      <c r="A144" s="52"/>
      <c r="B144" s="1">
        <v>44612</v>
      </c>
      <c r="C144" t="s">
        <v>2</v>
      </c>
      <c r="D144" s="3"/>
      <c r="E144" s="3"/>
      <c r="F144" s="10"/>
      <c r="G144" s="12"/>
      <c r="H144" s="12" t="str">
        <f t="shared" si="53"/>
        <v/>
      </c>
      <c r="I144" s="11" t="str">
        <f t="shared" ref="I144:I149" si="56">IF(E144="","",IF(E144-D144&gt;=$N$1,E144-D144-$F$2,E144-D144))</f>
        <v/>
      </c>
    </row>
    <row r="145" spans="1:9" s="5" customFormat="1" x14ac:dyDescent="0.3">
      <c r="A145" s="53">
        <f t="shared" si="42"/>
        <v>8</v>
      </c>
      <c r="B145" s="4">
        <v>44613</v>
      </c>
      <c r="C145" s="5" t="s">
        <v>3</v>
      </c>
      <c r="D145" s="6"/>
      <c r="E145" s="6"/>
      <c r="F145" s="17"/>
      <c r="G145" s="18"/>
      <c r="H145" s="18" t="str">
        <f t="shared" si="53"/>
        <v/>
      </c>
      <c r="I145" s="19" t="str">
        <f t="shared" si="56"/>
        <v/>
      </c>
    </row>
    <row r="146" spans="1:9" x14ac:dyDescent="0.3">
      <c r="A146" s="54"/>
      <c r="B146" s="1">
        <v>44614</v>
      </c>
      <c r="C146" t="s">
        <v>4</v>
      </c>
      <c r="D146" s="3"/>
      <c r="E146" s="3"/>
      <c r="F146" s="10"/>
      <c r="G146" s="12"/>
      <c r="H146" s="12" t="str">
        <f t="shared" si="53"/>
        <v/>
      </c>
      <c r="I146" s="11" t="str">
        <f t="shared" si="56"/>
        <v/>
      </c>
    </row>
    <row r="147" spans="1:9" x14ac:dyDescent="0.3">
      <c r="A147" s="54"/>
      <c r="B147" s="1">
        <v>44615</v>
      </c>
      <c r="C147" t="s">
        <v>5</v>
      </c>
      <c r="D147" s="3"/>
      <c r="E147" s="3"/>
      <c r="F147" s="10"/>
      <c r="G147" s="12"/>
      <c r="H147" s="12" t="str">
        <f t="shared" si="53"/>
        <v/>
      </c>
      <c r="I147" s="11" t="str">
        <f t="shared" si="56"/>
        <v/>
      </c>
    </row>
    <row r="148" spans="1:9" x14ac:dyDescent="0.3">
      <c r="A148" s="54"/>
      <c r="B148" s="1">
        <v>44616</v>
      </c>
      <c r="C148" t="s">
        <v>6</v>
      </c>
      <c r="D148" s="3">
        <v>0.33333333333333331</v>
      </c>
      <c r="E148" s="3">
        <v>0.66666666666666663</v>
      </c>
      <c r="F148" s="10"/>
      <c r="G148" s="12"/>
      <c r="H148" s="12">
        <f t="shared" si="53"/>
        <v>0.33333333333333331</v>
      </c>
      <c r="I148" s="11">
        <f t="shared" si="56"/>
        <v>0.3125</v>
      </c>
    </row>
    <row r="149" spans="1:9" x14ac:dyDescent="0.3">
      <c r="A149" s="54"/>
      <c r="B149" s="1">
        <v>44617</v>
      </c>
      <c r="C149" t="s">
        <v>0</v>
      </c>
      <c r="D149" s="3">
        <v>0.375</v>
      </c>
      <c r="E149" s="3">
        <v>0.45833333333333331</v>
      </c>
      <c r="F149" s="10"/>
      <c r="G149" s="12"/>
      <c r="H149" s="12">
        <f t="shared" si="53"/>
        <v>8.3333333333333315E-2</v>
      </c>
      <c r="I149" s="11">
        <f t="shared" si="56"/>
        <v>8.3333333333333315E-2</v>
      </c>
    </row>
    <row r="150" spans="1:9" s="23" customFormat="1" x14ac:dyDescent="0.3">
      <c r="A150" s="54"/>
      <c r="B150" s="22">
        <v>44618</v>
      </c>
      <c r="C150" s="23" t="s">
        <v>1</v>
      </c>
      <c r="D150" s="24"/>
      <c r="E150" s="24"/>
      <c r="F150" s="25" t="s">
        <v>33</v>
      </c>
      <c r="G150" s="26">
        <f>SUM(G145:G149)</f>
        <v>0</v>
      </c>
      <c r="H150" s="26">
        <f t="shared" ref="H150:I150" si="57">SUM(H145:H149)</f>
        <v>0.41666666666666663</v>
      </c>
      <c r="I150" s="25">
        <f t="shared" si="57"/>
        <v>0.39583333333333331</v>
      </c>
    </row>
    <row r="151" spans="1:9" x14ac:dyDescent="0.3">
      <c r="A151" s="55"/>
      <c r="B151" s="1">
        <v>44619</v>
      </c>
      <c r="C151" t="s">
        <v>2</v>
      </c>
      <c r="D151" s="3"/>
      <c r="E151" s="3"/>
      <c r="F151" s="10"/>
      <c r="G151" s="12"/>
      <c r="H151" s="12" t="str">
        <f t="shared" si="53"/>
        <v/>
      </c>
      <c r="I151" s="11" t="str">
        <f t="shared" ref="I151:I156" si="58">IF(E151="","",IF(E151-D151&gt;=$N$1,E151-D151-$F$2,E151-D151))</f>
        <v/>
      </c>
    </row>
    <row r="152" spans="1:9" s="5" customFormat="1" x14ac:dyDescent="0.3">
      <c r="A152" s="50">
        <f t="shared" si="42"/>
        <v>9</v>
      </c>
      <c r="B152" s="4">
        <v>44620</v>
      </c>
      <c r="C152" s="5" t="s">
        <v>3</v>
      </c>
      <c r="D152" s="6">
        <v>0.35416666666666669</v>
      </c>
      <c r="E152" s="6">
        <v>0.6875</v>
      </c>
      <c r="F152" s="17"/>
      <c r="G152" s="18"/>
      <c r="H152" s="18">
        <f t="shared" si="53"/>
        <v>0.33333333333333331</v>
      </c>
      <c r="I152" s="19">
        <f t="shared" si="58"/>
        <v>0.3125</v>
      </c>
    </row>
    <row r="153" spans="1:9" x14ac:dyDescent="0.3">
      <c r="A153" s="51"/>
      <c r="B153" s="1">
        <v>44621</v>
      </c>
      <c r="C153" t="s">
        <v>4</v>
      </c>
      <c r="D153" s="3">
        <v>0.33333333333333331</v>
      </c>
      <c r="E153" s="3">
        <v>0.55208333333333337</v>
      </c>
      <c r="F153" s="10"/>
      <c r="G153" s="12"/>
      <c r="H153" s="12">
        <f t="shared" si="53"/>
        <v>0.21875000000000006</v>
      </c>
      <c r="I153" s="11">
        <f t="shared" si="58"/>
        <v>0.21875000000000006</v>
      </c>
    </row>
    <row r="154" spans="1:9" x14ac:dyDescent="0.3">
      <c r="A154" s="51"/>
      <c r="B154" s="1">
        <v>44622</v>
      </c>
      <c r="C154" t="s">
        <v>5</v>
      </c>
      <c r="D154" s="3">
        <v>0.33333333333333331</v>
      </c>
      <c r="E154" s="3">
        <v>0.625</v>
      </c>
      <c r="F154" s="10"/>
      <c r="G154" s="12"/>
      <c r="H154" s="12">
        <f t="shared" si="53"/>
        <v>0.29166666666666669</v>
      </c>
      <c r="I154" s="11">
        <f t="shared" si="58"/>
        <v>0.27083333333333337</v>
      </c>
    </row>
    <row r="155" spans="1:9" x14ac:dyDescent="0.3">
      <c r="A155" s="51"/>
      <c r="B155" s="1">
        <v>44623</v>
      </c>
      <c r="C155" t="s">
        <v>6</v>
      </c>
      <c r="D155" s="3"/>
      <c r="E155" s="3"/>
      <c r="F155" s="10"/>
      <c r="G155" s="12"/>
      <c r="H155" s="12" t="str">
        <f t="shared" si="53"/>
        <v/>
      </c>
      <c r="I155" s="11" t="str">
        <f t="shared" si="58"/>
        <v/>
      </c>
    </row>
    <row r="156" spans="1:9" x14ac:dyDescent="0.3">
      <c r="A156" s="51"/>
      <c r="B156" s="1">
        <v>44624</v>
      </c>
      <c r="C156" t="s">
        <v>0</v>
      </c>
      <c r="D156" s="3">
        <v>0.33333333333333331</v>
      </c>
      <c r="E156" s="3">
        <v>0.64583333333333337</v>
      </c>
      <c r="F156" s="10"/>
      <c r="G156" s="12"/>
      <c r="H156" s="12">
        <f t="shared" si="53"/>
        <v>0.31250000000000006</v>
      </c>
      <c r="I156" s="11">
        <f t="shared" si="58"/>
        <v>0.29166666666666674</v>
      </c>
    </row>
    <row r="157" spans="1:9" s="23" customFormat="1" x14ac:dyDescent="0.3">
      <c r="A157" s="51"/>
      <c r="B157" s="22">
        <v>44625</v>
      </c>
      <c r="C157" s="23" t="s">
        <v>1</v>
      </c>
      <c r="D157" s="24"/>
      <c r="E157" s="24"/>
      <c r="F157" s="25" t="s">
        <v>34</v>
      </c>
      <c r="G157" s="26">
        <f>SUM(G152:G156)</f>
        <v>0</v>
      </c>
      <c r="H157" s="26">
        <f t="shared" ref="H157:I157" si="59">SUM(H152:H156)</f>
        <v>1.15625</v>
      </c>
      <c r="I157" s="25">
        <f t="shared" si="59"/>
        <v>1.09375</v>
      </c>
    </row>
    <row r="158" spans="1:9" x14ac:dyDescent="0.3">
      <c r="A158" s="52"/>
      <c r="B158" s="1">
        <v>44626</v>
      </c>
      <c r="C158" t="s">
        <v>2</v>
      </c>
      <c r="D158" s="3"/>
      <c r="E158" s="3"/>
      <c r="F158" s="10"/>
      <c r="G158" s="12"/>
      <c r="H158" s="12" t="str">
        <f>IF(E158="","",E158-D158)</f>
        <v/>
      </c>
      <c r="I158" s="11" t="str">
        <f t="shared" ref="I158:I163" si="60">IF(E158="","",IF(E158-D158&gt;=$N$1,E158-D158-$F$2,E158-D158))</f>
        <v/>
      </c>
    </row>
    <row r="159" spans="1:9" s="5" customFormat="1" x14ac:dyDescent="0.3">
      <c r="A159" s="53">
        <f t="shared" si="42"/>
        <v>10</v>
      </c>
      <c r="B159" s="4">
        <v>44627</v>
      </c>
      <c r="C159" s="5" t="s">
        <v>3</v>
      </c>
      <c r="D159" s="6">
        <v>0.35416666666666669</v>
      </c>
      <c r="E159" s="6">
        <v>0.6875</v>
      </c>
      <c r="F159" s="17"/>
      <c r="G159" s="18"/>
      <c r="H159" s="18">
        <f>IF(E159="","",E159-D159)</f>
        <v>0.33333333333333331</v>
      </c>
      <c r="I159" s="19">
        <f t="shared" si="60"/>
        <v>0.3125</v>
      </c>
    </row>
    <row r="160" spans="1:9" x14ac:dyDescent="0.3">
      <c r="A160" s="54"/>
      <c r="B160" s="1">
        <v>44628</v>
      </c>
      <c r="C160" t="s">
        <v>4</v>
      </c>
      <c r="D160" s="3">
        <v>0.33333333333333331</v>
      </c>
      <c r="E160" s="3">
        <v>0.64583333333333337</v>
      </c>
      <c r="F160" s="10"/>
      <c r="G160" s="12"/>
      <c r="H160" s="12">
        <f t="shared" si="53"/>
        <v>0.31250000000000006</v>
      </c>
      <c r="I160" s="11">
        <f t="shared" si="60"/>
        <v>0.29166666666666674</v>
      </c>
    </row>
    <row r="161" spans="1:9" x14ac:dyDescent="0.3">
      <c r="A161" s="54"/>
      <c r="B161" s="1">
        <v>44629</v>
      </c>
      <c r="C161" t="s">
        <v>5</v>
      </c>
      <c r="D161" s="3"/>
      <c r="E161" s="3"/>
      <c r="F161" s="10"/>
      <c r="G161" s="12"/>
      <c r="H161" s="12" t="str">
        <f t="shared" si="53"/>
        <v/>
      </c>
      <c r="I161" s="11" t="str">
        <f t="shared" si="60"/>
        <v/>
      </c>
    </row>
    <row r="162" spans="1:9" x14ac:dyDescent="0.3">
      <c r="A162" s="54"/>
      <c r="B162" s="1">
        <v>44630</v>
      </c>
      <c r="C162" t="s">
        <v>6</v>
      </c>
      <c r="D162" s="3">
        <v>0.3125</v>
      </c>
      <c r="E162" s="3">
        <v>0.625</v>
      </c>
      <c r="F162" s="10"/>
      <c r="G162" s="12"/>
      <c r="H162" s="12">
        <f t="shared" si="53"/>
        <v>0.3125</v>
      </c>
      <c r="I162" s="11">
        <f t="shared" si="60"/>
        <v>0.29166666666666669</v>
      </c>
    </row>
    <row r="163" spans="1:9" x14ac:dyDescent="0.3">
      <c r="A163" s="54"/>
      <c r="B163" s="1">
        <v>44631</v>
      </c>
      <c r="C163" t="s">
        <v>0</v>
      </c>
      <c r="D163" s="3"/>
      <c r="E163" s="3"/>
      <c r="F163" s="10"/>
      <c r="G163" s="12"/>
      <c r="H163" s="12" t="str">
        <f t="shared" si="53"/>
        <v/>
      </c>
      <c r="I163" s="11" t="str">
        <f t="shared" si="60"/>
        <v/>
      </c>
    </row>
    <row r="164" spans="1:9" s="23" customFormat="1" x14ac:dyDescent="0.3">
      <c r="A164" s="54"/>
      <c r="B164" s="22">
        <v>44632</v>
      </c>
      <c r="C164" s="23" t="s">
        <v>1</v>
      </c>
      <c r="D164" s="24"/>
      <c r="E164" s="24"/>
      <c r="F164" s="25" t="s">
        <v>35</v>
      </c>
      <c r="G164" s="26">
        <f>SUM(G159:G163)</f>
        <v>0</v>
      </c>
      <c r="H164" s="26">
        <f t="shared" ref="H164:I164" si="61">SUM(H159:H163)</f>
        <v>0.95833333333333337</v>
      </c>
      <c r="I164" s="25">
        <f t="shared" si="61"/>
        <v>0.89583333333333348</v>
      </c>
    </row>
    <row r="165" spans="1:9" x14ac:dyDescent="0.3">
      <c r="A165" s="55"/>
      <c r="B165" s="1">
        <v>44633</v>
      </c>
      <c r="C165" t="s">
        <v>2</v>
      </c>
      <c r="D165" s="3"/>
      <c r="E165" s="3"/>
      <c r="F165" s="10"/>
      <c r="G165" s="12"/>
      <c r="H165" s="12" t="str">
        <f t="shared" si="53"/>
        <v/>
      </c>
      <c r="I165" s="11" t="str">
        <f t="shared" ref="I165:I170" si="62">IF(E165="","",IF(E165-D165&gt;=$N$1,E165-D165-$F$2,E165-D165))</f>
        <v/>
      </c>
    </row>
    <row r="166" spans="1:9" s="5" customFormat="1" x14ac:dyDescent="0.3">
      <c r="A166" s="50">
        <f t="shared" ref="A166:A180" si="63">WEEKNUM(B166,21)</f>
        <v>11</v>
      </c>
      <c r="B166" s="4">
        <v>44634</v>
      </c>
      <c r="C166" s="5" t="s">
        <v>3</v>
      </c>
      <c r="D166" s="6">
        <v>0.33333333333333331</v>
      </c>
      <c r="E166" s="6">
        <v>0.70833333333333337</v>
      </c>
      <c r="F166" s="17"/>
      <c r="G166" s="18"/>
      <c r="H166" s="18">
        <f t="shared" si="53"/>
        <v>0.37500000000000006</v>
      </c>
      <c r="I166" s="19">
        <f t="shared" si="62"/>
        <v>0.35416666666666674</v>
      </c>
    </row>
    <row r="167" spans="1:9" x14ac:dyDescent="0.3">
      <c r="A167" s="51"/>
      <c r="B167" s="1">
        <v>44635</v>
      </c>
      <c r="C167" t="s">
        <v>4</v>
      </c>
      <c r="D167" s="3">
        <v>0.35416666666666669</v>
      </c>
      <c r="E167" s="3">
        <v>0.64583333333333337</v>
      </c>
      <c r="F167" s="10"/>
      <c r="G167" s="12"/>
      <c r="H167" s="12">
        <f t="shared" si="53"/>
        <v>0.29166666666666669</v>
      </c>
      <c r="I167" s="11">
        <f t="shared" si="62"/>
        <v>0.27083333333333337</v>
      </c>
    </row>
    <row r="168" spans="1:9" x14ac:dyDescent="0.3">
      <c r="A168" s="51"/>
      <c r="B168" s="1">
        <v>44636</v>
      </c>
      <c r="C168" t="s">
        <v>5</v>
      </c>
      <c r="D168" s="3">
        <v>0.3125</v>
      </c>
      <c r="E168" s="3">
        <v>0.5</v>
      </c>
      <c r="F168" s="10"/>
      <c r="G168" s="12"/>
      <c r="H168" s="12">
        <f t="shared" si="53"/>
        <v>0.1875</v>
      </c>
      <c r="I168" s="11">
        <f t="shared" si="62"/>
        <v>0.1875</v>
      </c>
    </row>
    <row r="169" spans="1:9" x14ac:dyDescent="0.3">
      <c r="A169" s="51"/>
      <c r="B169" s="1">
        <v>44637</v>
      </c>
      <c r="C169" t="s">
        <v>6</v>
      </c>
      <c r="D169" s="3">
        <v>0.33333333333333331</v>
      </c>
      <c r="E169" s="3">
        <v>0.625</v>
      </c>
      <c r="F169" s="10"/>
      <c r="G169" s="12"/>
      <c r="H169" s="12">
        <f t="shared" si="53"/>
        <v>0.29166666666666669</v>
      </c>
      <c r="I169" s="11">
        <f t="shared" si="62"/>
        <v>0.27083333333333337</v>
      </c>
    </row>
    <row r="170" spans="1:9" x14ac:dyDescent="0.3">
      <c r="A170" s="51"/>
      <c r="B170" s="1">
        <v>44638</v>
      </c>
      <c r="C170" t="s">
        <v>0</v>
      </c>
      <c r="D170" s="3"/>
      <c r="E170" s="3"/>
      <c r="F170" s="10"/>
      <c r="G170" s="12"/>
      <c r="H170" s="12" t="str">
        <f t="shared" si="53"/>
        <v/>
      </c>
      <c r="I170" s="11" t="str">
        <f t="shared" si="62"/>
        <v/>
      </c>
    </row>
    <row r="171" spans="1:9" s="23" customFormat="1" x14ac:dyDescent="0.3">
      <c r="A171" s="51"/>
      <c r="B171" s="22">
        <v>44639</v>
      </c>
      <c r="C171" s="23" t="s">
        <v>1</v>
      </c>
      <c r="D171" s="24"/>
      <c r="E171" s="24"/>
      <c r="F171" s="25" t="s">
        <v>36</v>
      </c>
      <c r="G171" s="26">
        <f>SUM(G166:G170)</f>
        <v>0</v>
      </c>
      <c r="H171" s="26">
        <f t="shared" ref="H171:I171" si="64">SUM(H166:H170)</f>
        <v>1.1458333333333335</v>
      </c>
      <c r="I171" s="25">
        <f t="shared" si="64"/>
        <v>1.0833333333333335</v>
      </c>
    </row>
    <row r="172" spans="1:9" x14ac:dyDescent="0.3">
      <c r="A172" s="52"/>
      <c r="B172" s="1">
        <v>44640</v>
      </c>
      <c r="C172" t="s">
        <v>2</v>
      </c>
      <c r="D172" s="3"/>
      <c r="E172" s="3"/>
      <c r="F172" s="10"/>
      <c r="G172" s="12"/>
      <c r="H172" s="12" t="str">
        <f t="shared" si="53"/>
        <v/>
      </c>
      <c r="I172" s="11" t="str">
        <f t="shared" ref="I172:I177" si="65">IF(E172="","",IF(E172-D172&gt;=$N$1,E172-D172-$F$2,E172-D172))</f>
        <v/>
      </c>
    </row>
    <row r="173" spans="1:9" s="5" customFormat="1" x14ac:dyDescent="0.3">
      <c r="A173" s="53">
        <f t="shared" si="63"/>
        <v>12</v>
      </c>
      <c r="B173" s="4">
        <v>44641</v>
      </c>
      <c r="C173" s="5" t="s">
        <v>3</v>
      </c>
      <c r="D173" s="6"/>
      <c r="E173" s="6"/>
      <c r="F173" s="17"/>
      <c r="G173" s="18"/>
      <c r="H173" s="18" t="str">
        <f t="shared" si="53"/>
        <v/>
      </c>
      <c r="I173" s="19" t="str">
        <f t="shared" si="65"/>
        <v/>
      </c>
    </row>
    <row r="174" spans="1:9" x14ac:dyDescent="0.3">
      <c r="A174" s="54"/>
      <c r="B174" s="1">
        <v>44642</v>
      </c>
      <c r="C174" t="s">
        <v>4</v>
      </c>
      <c r="D174" s="3">
        <v>0.3125</v>
      </c>
      <c r="E174" s="3">
        <v>0.64583333333333337</v>
      </c>
      <c r="F174" s="10"/>
      <c r="G174" s="12"/>
      <c r="H174" s="12">
        <f t="shared" si="53"/>
        <v>0.33333333333333337</v>
      </c>
      <c r="I174" s="11">
        <f t="shared" si="65"/>
        <v>0.31250000000000006</v>
      </c>
    </row>
    <row r="175" spans="1:9" x14ac:dyDescent="0.3">
      <c r="A175" s="54"/>
      <c r="B175" s="1">
        <v>44643</v>
      </c>
      <c r="C175" t="s">
        <v>5</v>
      </c>
      <c r="D175" s="3">
        <v>0.33333333333333331</v>
      </c>
      <c r="E175" s="3">
        <v>0.67708333333333337</v>
      </c>
      <c r="F175" s="10"/>
      <c r="G175" s="12"/>
      <c r="H175" s="12">
        <f t="shared" si="53"/>
        <v>0.34375000000000006</v>
      </c>
      <c r="I175" s="11">
        <f t="shared" si="65"/>
        <v>0.32291666666666674</v>
      </c>
    </row>
    <row r="176" spans="1:9" x14ac:dyDescent="0.3">
      <c r="A176" s="54"/>
      <c r="B176" s="1">
        <v>44644</v>
      </c>
      <c r="C176" t="s">
        <v>6</v>
      </c>
      <c r="D176" s="3"/>
      <c r="E176" s="3"/>
      <c r="F176" s="10"/>
      <c r="G176" s="12"/>
      <c r="H176" s="12" t="str">
        <f t="shared" si="53"/>
        <v/>
      </c>
      <c r="I176" s="11" t="str">
        <f t="shared" si="65"/>
        <v/>
      </c>
    </row>
    <row r="177" spans="1:9" x14ac:dyDescent="0.3">
      <c r="A177" s="54"/>
      <c r="B177" s="1">
        <v>44645</v>
      </c>
      <c r="C177" t="s">
        <v>0</v>
      </c>
      <c r="D177" s="3">
        <v>0.60416666666666663</v>
      </c>
      <c r="E177" s="3">
        <v>0.64583333333333337</v>
      </c>
      <c r="F177" s="10"/>
      <c r="G177" s="12"/>
      <c r="H177" s="12">
        <f t="shared" si="53"/>
        <v>4.1666666666666741E-2</v>
      </c>
      <c r="I177" s="11">
        <f t="shared" si="65"/>
        <v>4.1666666666666741E-2</v>
      </c>
    </row>
    <row r="178" spans="1:9" s="23" customFormat="1" x14ac:dyDescent="0.3">
      <c r="A178" s="54"/>
      <c r="B178" s="22">
        <v>44646</v>
      </c>
      <c r="C178" s="23" t="s">
        <v>1</v>
      </c>
      <c r="D178" s="24"/>
      <c r="E178" s="24"/>
      <c r="F178" s="25" t="s">
        <v>37</v>
      </c>
      <c r="G178" s="26">
        <f>SUM(G173:G177)</f>
        <v>0</v>
      </c>
      <c r="H178" s="26">
        <f t="shared" ref="H178:I178" si="66">SUM(H173:H177)</f>
        <v>0.71875000000000022</v>
      </c>
      <c r="I178" s="25">
        <f t="shared" si="66"/>
        <v>0.67708333333333348</v>
      </c>
    </row>
    <row r="179" spans="1:9" x14ac:dyDescent="0.3">
      <c r="A179" s="55"/>
      <c r="B179" s="1">
        <v>44647</v>
      </c>
      <c r="C179" t="s">
        <v>2</v>
      </c>
      <c r="D179" s="3"/>
      <c r="E179" s="3"/>
      <c r="F179" s="10"/>
      <c r="G179" s="12"/>
      <c r="H179" s="12" t="str">
        <f t="shared" si="53"/>
        <v/>
      </c>
      <c r="I179" s="11" t="str">
        <f t="shared" ref="I179:I184" si="67">IF(E179="","",IF(E179-D179&gt;=$N$1,E179-D179-$F$2,E179-D179))</f>
        <v/>
      </c>
    </row>
    <row r="180" spans="1:9" s="5" customFormat="1" x14ac:dyDescent="0.3">
      <c r="A180" s="50">
        <f t="shared" si="63"/>
        <v>13</v>
      </c>
      <c r="B180" s="4">
        <v>44648</v>
      </c>
      <c r="C180" s="5" t="s">
        <v>3</v>
      </c>
      <c r="D180" s="6">
        <v>0.35416666666666669</v>
      </c>
      <c r="E180" s="6">
        <v>0.625</v>
      </c>
      <c r="F180" s="17"/>
      <c r="G180" s="18"/>
      <c r="H180" s="18">
        <f t="shared" si="53"/>
        <v>0.27083333333333331</v>
      </c>
      <c r="I180" s="19">
        <f t="shared" si="67"/>
        <v>0.24999999999999997</v>
      </c>
    </row>
    <row r="181" spans="1:9" x14ac:dyDescent="0.3">
      <c r="A181" s="51"/>
      <c r="B181" s="1">
        <v>44649</v>
      </c>
      <c r="C181" t="s">
        <v>4</v>
      </c>
      <c r="D181" s="3"/>
      <c r="E181" s="3"/>
      <c r="F181" s="10"/>
      <c r="G181" s="12"/>
      <c r="H181" s="12" t="str">
        <f t="shared" si="53"/>
        <v/>
      </c>
      <c r="I181" s="11" t="str">
        <f t="shared" si="67"/>
        <v/>
      </c>
    </row>
    <row r="182" spans="1:9" x14ac:dyDescent="0.3">
      <c r="A182" s="51"/>
      <c r="B182" s="1">
        <v>44650</v>
      </c>
      <c r="C182" t="s">
        <v>5</v>
      </c>
      <c r="D182" s="3"/>
      <c r="E182" s="3"/>
      <c r="F182" s="10"/>
      <c r="G182" s="12"/>
      <c r="H182" s="12" t="str">
        <f t="shared" si="53"/>
        <v/>
      </c>
      <c r="I182" s="11" t="str">
        <f t="shared" si="67"/>
        <v/>
      </c>
    </row>
    <row r="183" spans="1:9" x14ac:dyDescent="0.3">
      <c r="A183" s="51"/>
      <c r="B183" s="1">
        <v>44651</v>
      </c>
      <c r="C183" t="s">
        <v>6</v>
      </c>
      <c r="D183" s="3"/>
      <c r="E183" s="3"/>
      <c r="F183" s="10"/>
      <c r="G183" s="12"/>
      <c r="H183" s="12" t="str">
        <f t="shared" si="53"/>
        <v/>
      </c>
      <c r="I183" s="11" t="str">
        <f t="shared" si="67"/>
        <v/>
      </c>
    </row>
    <row r="184" spans="1:9" x14ac:dyDescent="0.3">
      <c r="A184" s="51"/>
      <c r="B184" s="1">
        <v>44652</v>
      </c>
      <c r="C184" t="s">
        <v>0</v>
      </c>
      <c r="D184" s="3"/>
      <c r="E184" s="3"/>
      <c r="F184" s="10"/>
      <c r="G184" s="12"/>
      <c r="H184" s="12" t="str">
        <f t="shared" si="53"/>
        <v/>
      </c>
      <c r="I184" s="11" t="str">
        <f t="shared" si="67"/>
        <v/>
      </c>
    </row>
    <row r="185" spans="1:9" s="23" customFormat="1" x14ac:dyDescent="0.3">
      <c r="A185" s="51"/>
      <c r="B185" s="22">
        <v>44653</v>
      </c>
      <c r="C185" s="23" t="s">
        <v>1</v>
      </c>
      <c r="D185" s="24"/>
      <c r="E185" s="24"/>
      <c r="F185" s="25" t="s">
        <v>38</v>
      </c>
      <c r="G185" s="26">
        <f>SUM(G180:G184)</f>
        <v>0</v>
      </c>
      <c r="H185" s="26">
        <f>SUM(H180:H184)</f>
        <v>0.27083333333333331</v>
      </c>
      <c r="I185" s="25">
        <f>SUM(I180:I184)</f>
        <v>0.24999999999999997</v>
      </c>
    </row>
    <row r="186" spans="1:9" x14ac:dyDescent="0.3">
      <c r="A186" s="52"/>
      <c r="B186" s="1">
        <v>44654</v>
      </c>
      <c r="C186" s="28" t="s">
        <v>2</v>
      </c>
      <c r="D186" s="3"/>
      <c r="E186" s="3"/>
      <c r="F186" s="3"/>
      <c r="G186" s="3"/>
    </row>
    <row r="187" spans="1:9" x14ac:dyDescent="0.3">
      <c r="D187" s="3"/>
      <c r="E187" s="3"/>
      <c r="F187" s="3"/>
      <c r="G187" s="3"/>
    </row>
    <row r="188" spans="1:9" x14ac:dyDescent="0.3">
      <c r="D188" s="3"/>
      <c r="E188" s="3"/>
      <c r="F188" s="3"/>
      <c r="G188" s="3"/>
    </row>
    <row r="189" spans="1:9" x14ac:dyDescent="0.3">
      <c r="D189" s="3"/>
      <c r="E189" s="3"/>
      <c r="F189" s="3"/>
      <c r="G189" s="3"/>
    </row>
    <row r="190" spans="1:9" x14ac:dyDescent="0.3">
      <c r="D190" s="3"/>
      <c r="E190" s="3"/>
      <c r="F190" s="3"/>
      <c r="G190" s="3"/>
    </row>
    <row r="191" spans="1:9" x14ac:dyDescent="0.3">
      <c r="D191" s="3"/>
      <c r="E191" s="3"/>
      <c r="F191" s="3"/>
      <c r="G191" s="3"/>
    </row>
    <row r="192" spans="1:9" x14ac:dyDescent="0.3">
      <c r="D192" s="3"/>
      <c r="E192" s="3"/>
      <c r="F192" s="3"/>
      <c r="G192" s="3"/>
    </row>
    <row r="193" spans="4:7" x14ac:dyDescent="0.3">
      <c r="D193" s="3"/>
      <c r="E193" s="3"/>
      <c r="F193" s="3"/>
      <c r="G193" s="3"/>
    </row>
    <row r="194" spans="4:7" x14ac:dyDescent="0.3">
      <c r="D194" s="3"/>
      <c r="E194" s="3"/>
      <c r="F194" s="3"/>
      <c r="G194" s="3"/>
    </row>
    <row r="195" spans="4:7" x14ac:dyDescent="0.3">
      <c r="D195" s="3"/>
      <c r="E195" s="3"/>
      <c r="F195" s="3"/>
      <c r="G195" s="3"/>
    </row>
    <row r="196" spans="4:7" x14ac:dyDescent="0.3">
      <c r="D196" s="3"/>
      <c r="E196" s="3"/>
      <c r="F196" s="3"/>
      <c r="G196" s="3"/>
    </row>
    <row r="197" spans="4:7" x14ac:dyDescent="0.3">
      <c r="D197" s="3"/>
      <c r="E197" s="3"/>
      <c r="F197" s="3"/>
      <c r="G197" s="3"/>
    </row>
    <row r="198" spans="4:7" x14ac:dyDescent="0.3">
      <c r="D198" s="3"/>
      <c r="E198" s="3"/>
      <c r="F198" s="3"/>
      <c r="G198" s="3"/>
    </row>
    <row r="199" spans="4:7" x14ac:dyDescent="0.3">
      <c r="D199" s="3"/>
      <c r="E199" s="3"/>
      <c r="F199" s="3"/>
      <c r="G199" s="3"/>
    </row>
    <row r="200" spans="4:7" x14ac:dyDescent="0.3">
      <c r="D200" s="3"/>
      <c r="E200" s="3"/>
      <c r="F200" s="3"/>
      <c r="G200" s="3"/>
    </row>
    <row r="201" spans="4:7" x14ac:dyDescent="0.3">
      <c r="D201" s="3"/>
      <c r="E201" s="3"/>
      <c r="F201" s="3"/>
      <c r="G201" s="3"/>
    </row>
    <row r="202" spans="4:7" x14ac:dyDescent="0.3">
      <c r="D202" s="3"/>
      <c r="E202" s="3"/>
      <c r="F202" s="3"/>
      <c r="G202" s="3"/>
    </row>
    <row r="203" spans="4:7" x14ac:dyDescent="0.3">
      <c r="D203" s="3"/>
      <c r="E203" s="3"/>
      <c r="F203" s="3"/>
      <c r="G203" s="3"/>
    </row>
    <row r="204" spans="4:7" x14ac:dyDescent="0.3">
      <c r="D204" s="3"/>
      <c r="E204" s="3"/>
      <c r="F204" s="3"/>
      <c r="G204" s="3"/>
    </row>
    <row r="205" spans="4:7" x14ac:dyDescent="0.3">
      <c r="D205" s="3"/>
      <c r="E205" s="3"/>
      <c r="F205" s="3"/>
      <c r="G205" s="3"/>
    </row>
    <row r="206" spans="4:7" x14ac:dyDescent="0.3">
      <c r="D206" s="3"/>
      <c r="E206" s="3"/>
      <c r="F206" s="3"/>
      <c r="G206" s="3"/>
    </row>
    <row r="207" spans="4:7" x14ac:dyDescent="0.3">
      <c r="D207" s="3"/>
      <c r="E207" s="3"/>
      <c r="F207" s="3"/>
      <c r="G207" s="3"/>
    </row>
    <row r="208" spans="4:7" x14ac:dyDescent="0.3">
      <c r="D208" s="3"/>
      <c r="E208" s="3"/>
      <c r="F208" s="3"/>
      <c r="G208" s="3"/>
    </row>
    <row r="209" spans="4:7" x14ac:dyDescent="0.3">
      <c r="D209" s="3"/>
      <c r="E209" s="3"/>
      <c r="F209" s="3"/>
      <c r="G209" s="3"/>
    </row>
    <row r="210" spans="4:7" x14ac:dyDescent="0.3">
      <c r="D210" s="3"/>
      <c r="E210" s="3"/>
      <c r="F210" s="3"/>
      <c r="G210" s="3"/>
    </row>
    <row r="211" spans="4:7" x14ac:dyDescent="0.3">
      <c r="D211" s="3"/>
      <c r="E211" s="3"/>
      <c r="F211" s="3"/>
      <c r="G211" s="3"/>
    </row>
    <row r="212" spans="4:7" x14ac:dyDescent="0.3">
      <c r="D212" s="3"/>
      <c r="E212" s="3"/>
      <c r="F212" s="3"/>
      <c r="G212" s="3"/>
    </row>
    <row r="213" spans="4:7" x14ac:dyDescent="0.3">
      <c r="D213" s="3"/>
      <c r="E213" s="3"/>
      <c r="F213" s="3"/>
      <c r="G213" s="3"/>
    </row>
    <row r="214" spans="4:7" x14ac:dyDescent="0.3">
      <c r="D214" s="3"/>
      <c r="E214" s="3"/>
      <c r="F214" s="3"/>
      <c r="G214" s="3"/>
    </row>
    <row r="215" spans="4:7" x14ac:dyDescent="0.3">
      <c r="D215" s="3"/>
      <c r="E215" s="3"/>
      <c r="F215" s="3"/>
      <c r="G215" s="3"/>
    </row>
    <row r="216" spans="4:7" x14ac:dyDescent="0.3">
      <c r="D216" s="3"/>
      <c r="E216" s="3"/>
      <c r="F216" s="3"/>
      <c r="G216" s="3"/>
    </row>
    <row r="217" spans="4:7" x14ac:dyDescent="0.3">
      <c r="D217" s="3"/>
      <c r="E217" s="3"/>
      <c r="F217" s="3"/>
      <c r="G217" s="3"/>
    </row>
    <row r="218" spans="4:7" x14ac:dyDescent="0.3">
      <c r="D218" s="3"/>
      <c r="E218" s="3"/>
      <c r="F218" s="3"/>
      <c r="G218" s="3"/>
    </row>
    <row r="219" spans="4:7" x14ac:dyDescent="0.3">
      <c r="D219" s="3"/>
      <c r="E219" s="3"/>
      <c r="F219" s="3"/>
      <c r="G219" s="3"/>
    </row>
    <row r="220" spans="4:7" x14ac:dyDescent="0.3">
      <c r="D220" s="3"/>
      <c r="E220" s="3"/>
      <c r="F220" s="3"/>
      <c r="G220" s="3"/>
    </row>
    <row r="221" spans="4:7" x14ac:dyDescent="0.3">
      <c r="D221" s="3"/>
      <c r="E221" s="3"/>
      <c r="F221" s="3"/>
      <c r="G221" s="3"/>
    </row>
    <row r="222" spans="4:7" x14ac:dyDescent="0.3">
      <c r="D222" s="3"/>
      <c r="E222" s="3"/>
      <c r="F222" s="3"/>
      <c r="G222" s="3"/>
    </row>
    <row r="223" spans="4:7" x14ac:dyDescent="0.3">
      <c r="D223" s="3"/>
      <c r="E223" s="3"/>
      <c r="F223" s="3"/>
      <c r="G223" s="3"/>
    </row>
    <row r="224" spans="4:7" x14ac:dyDescent="0.3">
      <c r="D224" s="3"/>
      <c r="E224" s="3"/>
      <c r="F224" s="3"/>
      <c r="G224" s="3"/>
    </row>
    <row r="225" spans="4:7" x14ac:dyDescent="0.3">
      <c r="D225" s="3"/>
      <c r="E225" s="3"/>
      <c r="F225" s="3"/>
      <c r="G225" s="3"/>
    </row>
    <row r="226" spans="4:7" x14ac:dyDescent="0.3">
      <c r="D226" s="3"/>
      <c r="E226" s="3"/>
      <c r="F226" s="3"/>
      <c r="G226" s="3"/>
    </row>
    <row r="227" spans="4:7" x14ac:dyDescent="0.3">
      <c r="D227" s="3"/>
      <c r="E227" s="3"/>
      <c r="F227" s="3"/>
      <c r="G227" s="3"/>
    </row>
    <row r="228" spans="4:7" x14ac:dyDescent="0.3">
      <c r="D228" s="3"/>
      <c r="E228" s="3"/>
      <c r="F228" s="3"/>
      <c r="G228" s="3"/>
    </row>
    <row r="229" spans="4:7" x14ac:dyDescent="0.3">
      <c r="D229" s="3"/>
      <c r="E229" s="3"/>
      <c r="F229" s="3"/>
      <c r="G229" s="3"/>
    </row>
    <row r="230" spans="4:7" x14ac:dyDescent="0.3">
      <c r="D230" s="3"/>
      <c r="E230" s="3"/>
      <c r="F230" s="3"/>
      <c r="G230" s="3"/>
    </row>
    <row r="231" spans="4:7" x14ac:dyDescent="0.3">
      <c r="D231" s="3"/>
      <c r="E231" s="3"/>
      <c r="F231" s="3"/>
      <c r="G231" s="3"/>
    </row>
    <row r="232" spans="4:7" x14ac:dyDescent="0.3">
      <c r="D232" s="3"/>
      <c r="E232" s="3"/>
      <c r="F232" s="3"/>
      <c r="G232" s="3"/>
    </row>
    <row r="233" spans="4:7" x14ac:dyDescent="0.3">
      <c r="D233" s="3"/>
      <c r="E233" s="3"/>
      <c r="F233" s="3"/>
      <c r="G233" s="3"/>
    </row>
    <row r="234" spans="4:7" x14ac:dyDescent="0.3">
      <c r="D234" s="3"/>
      <c r="E234" s="3"/>
      <c r="F234" s="3"/>
      <c r="G234" s="3"/>
    </row>
    <row r="235" spans="4:7" x14ac:dyDescent="0.3">
      <c r="D235" s="3"/>
      <c r="E235" s="3"/>
      <c r="F235" s="3"/>
      <c r="G235" s="3"/>
    </row>
    <row r="236" spans="4:7" x14ac:dyDescent="0.3">
      <c r="D236" s="3"/>
      <c r="E236" s="3"/>
      <c r="F236" s="3"/>
      <c r="G236" s="3"/>
    </row>
    <row r="237" spans="4:7" x14ac:dyDescent="0.3">
      <c r="D237" s="3"/>
      <c r="E237" s="3"/>
      <c r="F237" s="3"/>
      <c r="G237" s="3"/>
    </row>
    <row r="238" spans="4:7" x14ac:dyDescent="0.3">
      <c r="D238" s="3"/>
      <c r="E238" s="3"/>
      <c r="F238" s="3"/>
      <c r="G238" s="3"/>
    </row>
    <row r="239" spans="4:7" x14ac:dyDescent="0.3">
      <c r="D239" s="3"/>
      <c r="E239" s="3"/>
      <c r="F239" s="3"/>
      <c r="G239" s="3"/>
    </row>
    <row r="240" spans="4:7" x14ac:dyDescent="0.3">
      <c r="D240" s="3"/>
      <c r="E240" s="3"/>
      <c r="F240" s="3"/>
      <c r="G240" s="3"/>
    </row>
    <row r="241" spans="4:7" x14ac:dyDescent="0.3">
      <c r="D241" s="3"/>
      <c r="E241" s="3"/>
      <c r="F241" s="3"/>
      <c r="G241" s="3"/>
    </row>
    <row r="242" spans="4:7" x14ac:dyDescent="0.3">
      <c r="D242" s="3"/>
      <c r="E242" s="3"/>
      <c r="F242" s="3"/>
      <c r="G242" s="3"/>
    </row>
    <row r="243" spans="4:7" x14ac:dyDescent="0.3">
      <c r="D243" s="3"/>
      <c r="E243" s="3"/>
      <c r="F243" s="3"/>
      <c r="G243" s="3"/>
    </row>
    <row r="244" spans="4:7" x14ac:dyDescent="0.3">
      <c r="D244" s="3"/>
      <c r="E244" s="3"/>
      <c r="F244" s="3"/>
      <c r="G244" s="3"/>
    </row>
    <row r="245" spans="4:7" x14ac:dyDescent="0.3">
      <c r="D245" s="3"/>
      <c r="E245" s="3"/>
      <c r="F245" s="3"/>
      <c r="G245" s="3"/>
    </row>
    <row r="246" spans="4:7" x14ac:dyDescent="0.3">
      <c r="D246" s="3"/>
      <c r="E246" s="3"/>
      <c r="F246" s="3"/>
      <c r="G246" s="3"/>
    </row>
    <row r="247" spans="4:7" x14ac:dyDescent="0.3">
      <c r="D247" s="3"/>
      <c r="E247" s="3"/>
      <c r="F247" s="3"/>
      <c r="G247" s="3"/>
    </row>
    <row r="248" spans="4:7" x14ac:dyDescent="0.3">
      <c r="D248" s="3"/>
      <c r="E248" s="3"/>
      <c r="F248" s="3"/>
      <c r="G248" s="3"/>
    </row>
    <row r="249" spans="4:7" x14ac:dyDescent="0.3">
      <c r="D249" s="3"/>
      <c r="E249" s="3"/>
      <c r="F249" s="3"/>
      <c r="G249" s="3"/>
    </row>
    <row r="250" spans="4:7" x14ac:dyDescent="0.3">
      <c r="D250" s="3"/>
      <c r="E250" s="3"/>
      <c r="F250" s="3"/>
      <c r="G250" s="3"/>
    </row>
    <row r="251" spans="4:7" x14ac:dyDescent="0.3">
      <c r="D251" s="3"/>
      <c r="E251" s="3"/>
      <c r="F251" s="3"/>
      <c r="G251" s="3"/>
    </row>
    <row r="252" spans="4:7" x14ac:dyDescent="0.3">
      <c r="D252" s="3"/>
      <c r="E252" s="3"/>
      <c r="F252" s="3"/>
      <c r="G252" s="3"/>
    </row>
    <row r="253" spans="4:7" x14ac:dyDescent="0.3">
      <c r="D253" s="3"/>
      <c r="E253" s="3"/>
      <c r="F253" s="3"/>
      <c r="G253" s="3"/>
    </row>
    <row r="254" spans="4:7" x14ac:dyDescent="0.3">
      <c r="D254" s="3"/>
      <c r="E254" s="3"/>
      <c r="F254" s="3"/>
      <c r="G254" s="3"/>
    </row>
    <row r="255" spans="4:7" x14ac:dyDescent="0.3">
      <c r="D255" s="3"/>
      <c r="E255" s="3"/>
      <c r="F255" s="3"/>
      <c r="G255" s="3"/>
    </row>
    <row r="256" spans="4:7" x14ac:dyDescent="0.3">
      <c r="D256" s="3"/>
      <c r="E256" s="3"/>
      <c r="F256" s="3"/>
      <c r="G256" s="3"/>
    </row>
    <row r="257" spans="4:7" x14ac:dyDescent="0.3">
      <c r="D257" s="3"/>
      <c r="E257" s="3"/>
      <c r="F257" s="3"/>
      <c r="G257" s="3"/>
    </row>
    <row r="258" spans="4:7" x14ac:dyDescent="0.3">
      <c r="D258" s="3"/>
      <c r="E258" s="3"/>
      <c r="F258" s="3"/>
      <c r="G258" s="3"/>
    </row>
    <row r="259" spans="4:7" x14ac:dyDescent="0.3">
      <c r="D259" s="3"/>
      <c r="E259" s="3"/>
      <c r="F259" s="3"/>
      <c r="G259" s="3"/>
    </row>
    <row r="260" spans="4:7" x14ac:dyDescent="0.3">
      <c r="D260" s="3"/>
      <c r="E260" s="3"/>
      <c r="F260" s="3"/>
      <c r="G260" s="3"/>
    </row>
    <row r="261" spans="4:7" x14ac:dyDescent="0.3">
      <c r="D261" s="3"/>
      <c r="E261" s="3"/>
      <c r="F261" s="3"/>
      <c r="G261" s="3"/>
    </row>
    <row r="262" spans="4:7" x14ac:dyDescent="0.3">
      <c r="D262" s="3"/>
      <c r="E262" s="3"/>
      <c r="F262" s="3"/>
      <c r="G262" s="3"/>
    </row>
    <row r="263" spans="4:7" x14ac:dyDescent="0.3">
      <c r="D263" s="3"/>
      <c r="E263" s="3"/>
      <c r="F263" s="3"/>
      <c r="G263" s="3"/>
    </row>
    <row r="264" spans="4:7" x14ac:dyDescent="0.3">
      <c r="D264" s="3"/>
      <c r="E264" s="3"/>
      <c r="F264" s="3"/>
      <c r="G264" s="3"/>
    </row>
    <row r="265" spans="4:7" x14ac:dyDescent="0.3">
      <c r="D265" s="3"/>
      <c r="E265" s="3"/>
      <c r="F265" s="3"/>
      <c r="G265" s="3"/>
    </row>
    <row r="266" spans="4:7" x14ac:dyDescent="0.3">
      <c r="D266" s="3"/>
      <c r="E266" s="3"/>
      <c r="F266" s="3"/>
      <c r="G266" s="3"/>
    </row>
    <row r="267" spans="4:7" x14ac:dyDescent="0.3">
      <c r="D267" s="3"/>
      <c r="E267" s="3"/>
      <c r="F267" s="3"/>
      <c r="G267" s="3"/>
    </row>
    <row r="268" spans="4:7" x14ac:dyDescent="0.3">
      <c r="D268" s="3"/>
      <c r="E268" s="3"/>
      <c r="F268" s="3"/>
      <c r="G268" s="3"/>
    </row>
    <row r="269" spans="4:7" x14ac:dyDescent="0.3">
      <c r="D269" s="3"/>
      <c r="E269" s="3"/>
      <c r="F269" s="3"/>
      <c r="G269" s="3"/>
    </row>
    <row r="270" spans="4:7" x14ac:dyDescent="0.3">
      <c r="D270" s="3"/>
      <c r="E270" s="3"/>
      <c r="F270" s="3"/>
      <c r="G270" s="3"/>
    </row>
    <row r="271" spans="4:7" x14ac:dyDescent="0.3">
      <c r="D271" s="3"/>
      <c r="E271" s="3"/>
      <c r="F271" s="3"/>
      <c r="G271" s="3"/>
    </row>
    <row r="272" spans="4:7" x14ac:dyDescent="0.3">
      <c r="D272" s="3"/>
      <c r="E272" s="3"/>
      <c r="F272" s="3"/>
      <c r="G272" s="3"/>
    </row>
    <row r="273" spans="4:7" x14ac:dyDescent="0.3">
      <c r="D273" s="3"/>
      <c r="E273" s="3"/>
      <c r="F273" s="3"/>
      <c r="G273" s="3"/>
    </row>
    <row r="274" spans="4:7" x14ac:dyDescent="0.3">
      <c r="D274" s="3"/>
      <c r="E274" s="3"/>
      <c r="F274" s="3"/>
      <c r="G274" s="3"/>
    </row>
    <row r="275" spans="4:7" x14ac:dyDescent="0.3">
      <c r="D275" s="3"/>
      <c r="E275" s="3"/>
      <c r="F275" s="3"/>
      <c r="G275" s="3"/>
    </row>
    <row r="276" spans="4:7" x14ac:dyDescent="0.3">
      <c r="D276" s="3"/>
      <c r="E276" s="3"/>
      <c r="F276" s="3"/>
      <c r="G276" s="3"/>
    </row>
    <row r="277" spans="4:7" x14ac:dyDescent="0.3">
      <c r="D277" s="3"/>
      <c r="E277" s="3"/>
      <c r="F277" s="3"/>
      <c r="G277" s="3"/>
    </row>
    <row r="278" spans="4:7" x14ac:dyDescent="0.3">
      <c r="D278" s="3"/>
      <c r="E278" s="3"/>
      <c r="F278" s="3"/>
      <c r="G278" s="3"/>
    </row>
    <row r="279" spans="4:7" x14ac:dyDescent="0.3">
      <c r="D279" s="3"/>
      <c r="E279" s="3"/>
      <c r="F279" s="3"/>
      <c r="G279" s="3"/>
    </row>
    <row r="280" spans="4:7" x14ac:dyDescent="0.3">
      <c r="D280" s="3"/>
      <c r="E280" s="3"/>
      <c r="F280" s="3"/>
      <c r="G280" s="3"/>
    </row>
    <row r="281" spans="4:7" x14ac:dyDescent="0.3">
      <c r="D281" s="3"/>
      <c r="E281" s="3"/>
      <c r="F281" s="3"/>
      <c r="G281" s="3"/>
    </row>
    <row r="282" spans="4:7" x14ac:dyDescent="0.3">
      <c r="D282" s="3"/>
      <c r="E282" s="3"/>
      <c r="F282" s="3"/>
      <c r="G282" s="3"/>
    </row>
    <row r="283" spans="4:7" x14ac:dyDescent="0.3">
      <c r="D283" s="3"/>
      <c r="E283" s="3"/>
      <c r="F283" s="3"/>
      <c r="G283" s="3"/>
    </row>
    <row r="284" spans="4:7" x14ac:dyDescent="0.3">
      <c r="D284" s="3"/>
      <c r="E284" s="3"/>
      <c r="F284" s="3"/>
      <c r="G284" s="3"/>
    </row>
    <row r="285" spans="4:7" x14ac:dyDescent="0.3">
      <c r="D285" s="3"/>
      <c r="E285" s="3"/>
      <c r="F285" s="3"/>
      <c r="G285" s="3"/>
    </row>
    <row r="286" spans="4:7" x14ac:dyDescent="0.3">
      <c r="D286" s="3"/>
      <c r="E286" s="3"/>
      <c r="F286" s="3"/>
      <c r="G286" s="3"/>
    </row>
    <row r="287" spans="4:7" x14ac:dyDescent="0.3">
      <c r="D287" s="3"/>
      <c r="E287" s="3"/>
      <c r="F287" s="3"/>
      <c r="G287" s="3"/>
    </row>
    <row r="288" spans="4:7" x14ac:dyDescent="0.3">
      <c r="D288" s="3"/>
      <c r="E288" s="3"/>
      <c r="F288" s="3"/>
      <c r="G288" s="3"/>
    </row>
    <row r="289" spans="4:7" x14ac:dyDescent="0.3">
      <c r="D289" s="3"/>
      <c r="E289" s="3"/>
      <c r="F289" s="3"/>
      <c r="G289" s="3"/>
    </row>
    <row r="290" spans="4:7" x14ac:dyDescent="0.3">
      <c r="D290" s="3"/>
      <c r="E290" s="3"/>
      <c r="F290" s="3"/>
      <c r="G290" s="3"/>
    </row>
    <row r="291" spans="4:7" x14ac:dyDescent="0.3">
      <c r="D291" s="3"/>
      <c r="E291" s="3"/>
      <c r="F291" s="3"/>
      <c r="G291" s="3"/>
    </row>
    <row r="292" spans="4:7" x14ac:dyDescent="0.3">
      <c r="D292" s="3"/>
      <c r="E292" s="3"/>
      <c r="F292" s="3"/>
      <c r="G292" s="3"/>
    </row>
    <row r="293" spans="4:7" x14ac:dyDescent="0.3">
      <c r="D293" s="3"/>
      <c r="E293" s="3"/>
      <c r="F293" s="3"/>
      <c r="G293" s="3"/>
    </row>
    <row r="294" spans="4:7" x14ac:dyDescent="0.3">
      <c r="D294" s="3"/>
      <c r="E294" s="3"/>
      <c r="F294" s="3"/>
      <c r="G294" s="3"/>
    </row>
    <row r="295" spans="4:7" x14ac:dyDescent="0.3">
      <c r="D295" s="3"/>
      <c r="E295" s="3"/>
      <c r="F295" s="3"/>
      <c r="G295" s="3"/>
    </row>
    <row r="296" spans="4:7" x14ac:dyDescent="0.3">
      <c r="D296" s="3"/>
      <c r="E296" s="3"/>
      <c r="F296" s="3"/>
      <c r="G296" s="3"/>
    </row>
    <row r="297" spans="4:7" x14ac:dyDescent="0.3">
      <c r="D297" s="3"/>
      <c r="E297" s="3"/>
      <c r="F297" s="3"/>
      <c r="G297" s="3"/>
    </row>
    <row r="298" spans="4:7" x14ac:dyDescent="0.3">
      <c r="D298" s="3"/>
      <c r="E298" s="3"/>
      <c r="F298" s="3"/>
      <c r="G298" s="3"/>
    </row>
    <row r="299" spans="4:7" x14ac:dyDescent="0.3">
      <c r="D299" s="3"/>
      <c r="E299" s="3"/>
      <c r="F299" s="3"/>
      <c r="G299" s="3"/>
    </row>
    <row r="300" spans="4:7" x14ac:dyDescent="0.3">
      <c r="D300" s="3"/>
      <c r="E300" s="3"/>
      <c r="F300" s="3"/>
      <c r="G300" s="3"/>
    </row>
    <row r="301" spans="4:7" x14ac:dyDescent="0.3">
      <c r="D301" s="3"/>
      <c r="E301" s="3"/>
      <c r="F301" s="3"/>
      <c r="G301" s="3"/>
    </row>
    <row r="302" spans="4:7" x14ac:dyDescent="0.3">
      <c r="D302" s="3"/>
      <c r="E302" s="3"/>
      <c r="F302" s="3"/>
      <c r="G302" s="3"/>
    </row>
    <row r="303" spans="4:7" x14ac:dyDescent="0.3">
      <c r="D303" s="3"/>
      <c r="E303" s="3"/>
      <c r="F303" s="3"/>
      <c r="G303" s="3"/>
    </row>
    <row r="304" spans="4:7" x14ac:dyDescent="0.3">
      <c r="D304" s="3"/>
      <c r="E304" s="3"/>
      <c r="F304" s="3"/>
      <c r="G304" s="3"/>
    </row>
    <row r="305" spans="4:7" x14ac:dyDescent="0.3">
      <c r="D305" s="3"/>
      <c r="E305" s="3"/>
      <c r="F305" s="3"/>
      <c r="G305" s="3"/>
    </row>
    <row r="306" spans="4:7" x14ac:dyDescent="0.3">
      <c r="D306" s="3"/>
      <c r="E306" s="3"/>
      <c r="F306" s="3"/>
      <c r="G306" s="3"/>
    </row>
    <row r="307" spans="4:7" x14ac:dyDescent="0.3">
      <c r="D307" s="3"/>
      <c r="E307" s="3"/>
      <c r="F307" s="3"/>
      <c r="G307" s="3"/>
    </row>
    <row r="308" spans="4:7" x14ac:dyDescent="0.3">
      <c r="D308" s="3"/>
      <c r="E308" s="3"/>
      <c r="F308" s="3"/>
      <c r="G308" s="3"/>
    </row>
    <row r="309" spans="4:7" x14ac:dyDescent="0.3">
      <c r="D309" s="3"/>
      <c r="E309" s="3"/>
      <c r="F309" s="3"/>
      <c r="G309" s="3"/>
    </row>
    <row r="310" spans="4:7" x14ac:dyDescent="0.3">
      <c r="D310" s="3"/>
      <c r="E310" s="3"/>
      <c r="F310" s="3"/>
      <c r="G310" s="3"/>
    </row>
    <row r="311" spans="4:7" x14ac:dyDescent="0.3">
      <c r="D311" s="3"/>
      <c r="E311" s="3"/>
      <c r="F311" s="3"/>
      <c r="G311" s="3"/>
    </row>
    <row r="312" spans="4:7" x14ac:dyDescent="0.3">
      <c r="D312" s="3"/>
      <c r="E312" s="3"/>
      <c r="F312" s="3"/>
      <c r="G312" s="3"/>
    </row>
    <row r="313" spans="4:7" x14ac:dyDescent="0.3">
      <c r="D313" s="3"/>
      <c r="E313" s="3"/>
      <c r="F313" s="3"/>
      <c r="G313" s="3"/>
    </row>
    <row r="314" spans="4:7" x14ac:dyDescent="0.3">
      <c r="D314" s="3"/>
      <c r="E314" s="3"/>
      <c r="F314" s="3"/>
      <c r="G314" s="3"/>
    </row>
    <row r="315" spans="4:7" x14ac:dyDescent="0.3">
      <c r="D315" s="3"/>
      <c r="E315" s="3"/>
      <c r="F315" s="3"/>
      <c r="G315" s="3"/>
    </row>
    <row r="316" spans="4:7" x14ac:dyDescent="0.3">
      <c r="D316" s="3"/>
      <c r="E316" s="3"/>
      <c r="F316" s="3"/>
      <c r="G316" s="3"/>
    </row>
    <row r="317" spans="4:7" x14ac:dyDescent="0.3">
      <c r="D317" s="3"/>
      <c r="E317" s="3"/>
      <c r="F317" s="3"/>
      <c r="G317" s="3"/>
    </row>
    <row r="318" spans="4:7" x14ac:dyDescent="0.3">
      <c r="D318" s="3"/>
      <c r="E318" s="3"/>
      <c r="F318" s="3"/>
      <c r="G318" s="3"/>
    </row>
    <row r="319" spans="4:7" x14ac:dyDescent="0.3">
      <c r="D319" s="3"/>
      <c r="E319" s="3"/>
      <c r="F319" s="3"/>
      <c r="G319" s="3"/>
    </row>
    <row r="320" spans="4:7" x14ac:dyDescent="0.3">
      <c r="D320" s="3"/>
      <c r="E320" s="3"/>
      <c r="F320" s="3"/>
      <c r="G320" s="3"/>
    </row>
    <row r="321" spans="4:7" x14ac:dyDescent="0.3">
      <c r="D321" s="3"/>
      <c r="E321" s="3"/>
      <c r="F321" s="3"/>
      <c r="G321" s="3"/>
    </row>
    <row r="322" spans="4:7" x14ac:dyDescent="0.3">
      <c r="D322" s="3"/>
      <c r="E322" s="3"/>
      <c r="F322" s="3"/>
      <c r="G322" s="3"/>
    </row>
    <row r="323" spans="4:7" x14ac:dyDescent="0.3">
      <c r="D323" s="3"/>
      <c r="E323" s="3"/>
      <c r="F323" s="3"/>
      <c r="G323" s="3"/>
    </row>
    <row r="324" spans="4:7" x14ac:dyDescent="0.3">
      <c r="D324" s="3"/>
      <c r="E324" s="3"/>
      <c r="F324" s="3"/>
      <c r="G324" s="3"/>
    </row>
    <row r="325" spans="4:7" x14ac:dyDescent="0.3">
      <c r="D325" s="3"/>
      <c r="E325" s="3"/>
      <c r="F325" s="3"/>
      <c r="G325" s="3"/>
    </row>
    <row r="326" spans="4:7" x14ac:dyDescent="0.3">
      <c r="D326" s="3"/>
      <c r="E326" s="3"/>
      <c r="F326" s="3"/>
      <c r="G326" s="3"/>
    </row>
    <row r="327" spans="4:7" x14ac:dyDescent="0.3">
      <c r="D327" s="3"/>
      <c r="E327" s="3"/>
      <c r="F327" s="3"/>
      <c r="G327" s="3"/>
    </row>
    <row r="328" spans="4:7" x14ac:dyDescent="0.3">
      <c r="D328" s="3"/>
      <c r="E328" s="3"/>
      <c r="F328" s="3"/>
      <c r="G328" s="3"/>
    </row>
    <row r="329" spans="4:7" x14ac:dyDescent="0.3">
      <c r="D329" s="3"/>
      <c r="E329" s="3"/>
      <c r="F329" s="3"/>
      <c r="G329" s="3"/>
    </row>
    <row r="330" spans="4:7" x14ac:dyDescent="0.3">
      <c r="D330" s="3"/>
      <c r="E330" s="3"/>
      <c r="F330" s="3"/>
      <c r="G330" s="3"/>
    </row>
    <row r="331" spans="4:7" x14ac:dyDescent="0.3">
      <c r="D331" s="3"/>
      <c r="E331" s="3"/>
      <c r="F331" s="3"/>
      <c r="G331" s="3"/>
    </row>
    <row r="332" spans="4:7" x14ac:dyDescent="0.3">
      <c r="D332" s="3"/>
      <c r="E332" s="3"/>
      <c r="F332" s="3"/>
      <c r="G332" s="3"/>
    </row>
    <row r="333" spans="4:7" x14ac:dyDescent="0.3">
      <c r="D333" s="3"/>
      <c r="E333" s="3"/>
      <c r="F333" s="3"/>
      <c r="G333" s="3"/>
    </row>
    <row r="334" spans="4:7" x14ac:dyDescent="0.3">
      <c r="D334" s="3"/>
      <c r="E334" s="3"/>
      <c r="F334" s="3"/>
      <c r="G334" s="3"/>
    </row>
    <row r="335" spans="4:7" x14ac:dyDescent="0.3">
      <c r="D335" s="3"/>
      <c r="E335" s="3"/>
      <c r="F335" s="3"/>
      <c r="G335" s="3"/>
    </row>
    <row r="336" spans="4:7" x14ac:dyDescent="0.3">
      <c r="D336" s="3"/>
      <c r="E336" s="3"/>
      <c r="F336" s="3"/>
      <c r="G336" s="3"/>
    </row>
    <row r="337" spans="4:7" x14ac:dyDescent="0.3">
      <c r="D337" s="3"/>
      <c r="E337" s="3"/>
      <c r="F337" s="3"/>
      <c r="G337" s="3"/>
    </row>
    <row r="338" spans="4:7" x14ac:dyDescent="0.3">
      <c r="D338" s="3"/>
      <c r="E338" s="3"/>
      <c r="F338" s="3"/>
      <c r="G338" s="3"/>
    </row>
    <row r="339" spans="4:7" x14ac:dyDescent="0.3">
      <c r="D339" s="3"/>
      <c r="E339" s="3"/>
      <c r="F339" s="3"/>
      <c r="G339" s="3"/>
    </row>
    <row r="340" spans="4:7" x14ac:dyDescent="0.3">
      <c r="D340" s="3"/>
      <c r="E340" s="3"/>
      <c r="F340" s="3"/>
      <c r="G340" s="3"/>
    </row>
    <row r="341" spans="4:7" x14ac:dyDescent="0.3">
      <c r="D341" s="3"/>
      <c r="E341" s="3"/>
      <c r="F341" s="3"/>
      <c r="G341" s="3"/>
    </row>
    <row r="342" spans="4:7" x14ac:dyDescent="0.3">
      <c r="D342" s="3"/>
      <c r="E342" s="3"/>
      <c r="F342" s="3"/>
      <c r="G342" s="3"/>
    </row>
    <row r="343" spans="4:7" x14ac:dyDescent="0.3">
      <c r="D343" s="3"/>
      <c r="E343" s="3"/>
      <c r="F343" s="3"/>
      <c r="G343" s="3"/>
    </row>
    <row r="344" spans="4:7" x14ac:dyDescent="0.3">
      <c r="D344" s="3"/>
      <c r="E344" s="3"/>
      <c r="F344" s="3"/>
      <c r="G344" s="3"/>
    </row>
    <row r="345" spans="4:7" x14ac:dyDescent="0.3">
      <c r="D345" s="3"/>
      <c r="E345" s="3"/>
      <c r="F345" s="3"/>
      <c r="G345" s="3"/>
    </row>
    <row r="346" spans="4:7" x14ac:dyDescent="0.3">
      <c r="D346" s="3"/>
      <c r="E346" s="3"/>
      <c r="F346" s="3"/>
      <c r="G346" s="3"/>
    </row>
    <row r="347" spans="4:7" x14ac:dyDescent="0.3">
      <c r="D347" s="3"/>
      <c r="E347" s="3"/>
      <c r="F347" s="3"/>
      <c r="G347" s="3"/>
    </row>
    <row r="348" spans="4:7" x14ac:dyDescent="0.3">
      <c r="D348" s="3"/>
      <c r="E348" s="3"/>
      <c r="F348" s="3"/>
      <c r="G348" s="3"/>
    </row>
    <row r="349" spans="4:7" x14ac:dyDescent="0.3">
      <c r="D349" s="3"/>
      <c r="E349" s="3"/>
      <c r="F349" s="3"/>
      <c r="G349" s="3"/>
    </row>
    <row r="350" spans="4:7" x14ac:dyDescent="0.3">
      <c r="D350" s="3"/>
      <c r="E350" s="3"/>
      <c r="F350" s="3"/>
      <c r="G350" s="3"/>
    </row>
    <row r="351" spans="4:7" x14ac:dyDescent="0.3">
      <c r="D351" s="3"/>
      <c r="E351" s="3"/>
      <c r="F351" s="3"/>
      <c r="G351" s="3"/>
    </row>
    <row r="352" spans="4:7" x14ac:dyDescent="0.3">
      <c r="D352" s="3"/>
      <c r="E352" s="3"/>
      <c r="F352" s="3"/>
      <c r="G352" s="3"/>
    </row>
    <row r="353" spans="4:7" x14ac:dyDescent="0.3">
      <c r="D353" s="3"/>
      <c r="E353" s="3"/>
      <c r="F353" s="3"/>
      <c r="G353" s="3"/>
    </row>
    <row r="354" spans="4:7" x14ac:dyDescent="0.3">
      <c r="D354" s="3"/>
      <c r="E354" s="3"/>
      <c r="F354" s="3"/>
      <c r="G354" s="3"/>
    </row>
    <row r="355" spans="4:7" x14ac:dyDescent="0.3">
      <c r="D355" s="3"/>
      <c r="E355" s="3"/>
      <c r="F355" s="3"/>
      <c r="G355" s="3"/>
    </row>
    <row r="356" spans="4:7" x14ac:dyDescent="0.3">
      <c r="D356" s="3"/>
      <c r="E356" s="3"/>
      <c r="F356" s="3"/>
      <c r="G356" s="3"/>
    </row>
    <row r="357" spans="4:7" x14ac:dyDescent="0.3">
      <c r="D357" s="3"/>
      <c r="E357" s="3"/>
      <c r="F357" s="3"/>
      <c r="G357" s="3"/>
    </row>
    <row r="358" spans="4:7" x14ac:dyDescent="0.3">
      <c r="D358" s="3"/>
      <c r="E358" s="3"/>
      <c r="F358" s="3"/>
      <c r="G358" s="3"/>
    </row>
    <row r="359" spans="4:7" x14ac:dyDescent="0.3">
      <c r="D359" s="3"/>
      <c r="E359" s="3"/>
      <c r="F359" s="3"/>
      <c r="G359" s="3"/>
    </row>
    <row r="360" spans="4:7" x14ac:dyDescent="0.3">
      <c r="D360" s="3"/>
      <c r="E360" s="3"/>
      <c r="F360" s="3"/>
      <c r="G360" s="3"/>
    </row>
    <row r="361" spans="4:7" x14ac:dyDescent="0.3">
      <c r="D361" s="3"/>
      <c r="E361" s="3"/>
      <c r="F361" s="3"/>
      <c r="G361" s="3"/>
    </row>
    <row r="362" spans="4:7" x14ac:dyDescent="0.3">
      <c r="D362" s="3"/>
      <c r="E362" s="3"/>
      <c r="F362" s="3"/>
      <c r="G362" s="3"/>
    </row>
    <row r="363" spans="4:7" x14ac:dyDescent="0.3">
      <c r="D363" s="3"/>
      <c r="E363" s="3"/>
      <c r="F363" s="3"/>
      <c r="G363" s="3"/>
    </row>
    <row r="364" spans="4:7" x14ac:dyDescent="0.3">
      <c r="D364" s="3"/>
      <c r="E364" s="3"/>
      <c r="F364" s="3"/>
      <c r="G364" s="3"/>
    </row>
    <row r="365" spans="4:7" x14ac:dyDescent="0.3">
      <c r="D365" s="3"/>
      <c r="E365" s="3"/>
      <c r="F365" s="3"/>
      <c r="G365" s="3"/>
    </row>
    <row r="366" spans="4:7" x14ac:dyDescent="0.3">
      <c r="D366" s="3"/>
      <c r="E366" s="3"/>
      <c r="F366" s="3"/>
      <c r="G366" s="3"/>
    </row>
    <row r="367" spans="4:7" x14ac:dyDescent="0.3">
      <c r="D367" s="3"/>
      <c r="E367" s="3"/>
      <c r="F367" s="3"/>
      <c r="G367" s="3"/>
    </row>
    <row r="368" spans="4:7" x14ac:dyDescent="0.3">
      <c r="D368" s="3"/>
      <c r="E368" s="3"/>
      <c r="F368" s="3"/>
      <c r="G368" s="3"/>
    </row>
    <row r="369" spans="4:7" x14ac:dyDescent="0.3">
      <c r="D369" s="3"/>
      <c r="E369" s="3"/>
      <c r="F369" s="3"/>
      <c r="G369" s="3"/>
    </row>
    <row r="370" spans="4:7" x14ac:dyDescent="0.3">
      <c r="D370" s="3"/>
      <c r="E370" s="3"/>
      <c r="F370" s="3"/>
      <c r="G370" s="3"/>
    </row>
    <row r="371" spans="4:7" x14ac:dyDescent="0.3">
      <c r="D371" s="3"/>
      <c r="E371" s="3"/>
      <c r="F371" s="3"/>
      <c r="G371" s="3"/>
    </row>
    <row r="372" spans="4:7" x14ac:dyDescent="0.3">
      <c r="D372" s="3"/>
      <c r="E372" s="3"/>
      <c r="F372" s="3"/>
      <c r="G372" s="3"/>
    </row>
    <row r="373" spans="4:7" x14ac:dyDescent="0.3">
      <c r="D373" s="3"/>
      <c r="E373" s="3"/>
      <c r="F373" s="3"/>
      <c r="G373" s="3"/>
    </row>
    <row r="374" spans="4:7" x14ac:dyDescent="0.3">
      <c r="D374" s="3"/>
      <c r="E374" s="3"/>
      <c r="F374" s="3"/>
      <c r="G374" s="3"/>
    </row>
    <row r="375" spans="4:7" x14ac:dyDescent="0.3">
      <c r="D375" s="3"/>
      <c r="E375" s="3"/>
      <c r="F375" s="3"/>
      <c r="G375" s="3"/>
    </row>
    <row r="376" spans="4:7" x14ac:dyDescent="0.3">
      <c r="D376" s="3"/>
      <c r="E376" s="3"/>
      <c r="F376" s="3"/>
      <c r="G376" s="3"/>
    </row>
    <row r="377" spans="4:7" x14ac:dyDescent="0.3">
      <c r="D377" s="3"/>
      <c r="E377" s="3"/>
      <c r="F377" s="3"/>
      <c r="G377" s="3"/>
    </row>
    <row r="378" spans="4:7" x14ac:dyDescent="0.3">
      <c r="D378" s="3"/>
      <c r="E378" s="3"/>
      <c r="F378" s="3"/>
      <c r="G378" s="3"/>
    </row>
    <row r="379" spans="4:7" x14ac:dyDescent="0.3">
      <c r="D379" s="3"/>
      <c r="E379" s="3"/>
      <c r="F379" s="3"/>
      <c r="G379" s="3"/>
    </row>
    <row r="380" spans="4:7" x14ac:dyDescent="0.3">
      <c r="D380" s="3"/>
      <c r="E380" s="3"/>
      <c r="F380" s="3"/>
      <c r="G380" s="3"/>
    </row>
    <row r="381" spans="4:7" x14ac:dyDescent="0.3">
      <c r="D381" s="3"/>
      <c r="E381" s="3"/>
      <c r="F381" s="3"/>
      <c r="G381" s="3"/>
    </row>
    <row r="382" spans="4:7" x14ac:dyDescent="0.3">
      <c r="D382" s="3"/>
      <c r="E382" s="3"/>
      <c r="F382" s="3"/>
      <c r="G382" s="3"/>
    </row>
    <row r="383" spans="4:7" x14ac:dyDescent="0.3">
      <c r="D383" s="3"/>
      <c r="E383" s="3"/>
      <c r="F383" s="3"/>
      <c r="G383" s="3"/>
    </row>
    <row r="384" spans="4:7" x14ac:dyDescent="0.3">
      <c r="D384" s="3"/>
      <c r="E384" s="3"/>
      <c r="F384" s="3"/>
      <c r="G384" s="3"/>
    </row>
    <row r="385" spans="4:7" x14ac:dyDescent="0.3">
      <c r="D385" s="3"/>
      <c r="E385" s="3"/>
      <c r="F385" s="3"/>
      <c r="G385" s="3"/>
    </row>
    <row r="386" spans="4:7" x14ac:dyDescent="0.3">
      <c r="D386" s="3"/>
      <c r="E386" s="3"/>
      <c r="F386" s="3"/>
      <c r="G386" s="3"/>
    </row>
    <row r="387" spans="4:7" x14ac:dyDescent="0.3">
      <c r="D387" s="3"/>
      <c r="E387" s="3"/>
      <c r="F387" s="3"/>
      <c r="G387" s="3"/>
    </row>
    <row r="388" spans="4:7" x14ac:dyDescent="0.3">
      <c r="D388" s="3"/>
      <c r="E388" s="3"/>
      <c r="F388" s="3"/>
      <c r="G388" s="3"/>
    </row>
    <row r="389" spans="4:7" x14ac:dyDescent="0.3">
      <c r="D389" s="3"/>
      <c r="E389" s="3"/>
      <c r="F389" s="3"/>
      <c r="G389" s="3"/>
    </row>
    <row r="390" spans="4:7" x14ac:dyDescent="0.3">
      <c r="D390" s="3"/>
      <c r="E390" s="3"/>
      <c r="F390" s="3"/>
      <c r="G390" s="3"/>
    </row>
    <row r="391" spans="4:7" x14ac:dyDescent="0.3">
      <c r="D391" s="3"/>
      <c r="E391" s="3"/>
      <c r="F391" s="3"/>
      <c r="G391" s="3"/>
    </row>
    <row r="392" spans="4:7" x14ac:dyDescent="0.3">
      <c r="D392" s="3"/>
      <c r="E392" s="3"/>
      <c r="F392" s="3"/>
      <c r="G392" s="3"/>
    </row>
    <row r="393" spans="4:7" x14ac:dyDescent="0.3">
      <c r="D393" s="3"/>
      <c r="E393" s="3"/>
      <c r="F393" s="3"/>
      <c r="G393" s="3"/>
    </row>
    <row r="394" spans="4:7" x14ac:dyDescent="0.3">
      <c r="D394" s="3"/>
      <c r="E394" s="3"/>
      <c r="F394" s="3"/>
      <c r="G394" s="3"/>
    </row>
    <row r="395" spans="4:7" x14ac:dyDescent="0.3">
      <c r="D395" s="3"/>
      <c r="E395" s="3"/>
      <c r="F395" s="3"/>
      <c r="G395" s="3"/>
    </row>
    <row r="396" spans="4:7" x14ac:dyDescent="0.3">
      <c r="D396" s="3"/>
      <c r="E396" s="3"/>
      <c r="F396" s="3"/>
      <c r="G396" s="3"/>
    </row>
    <row r="397" spans="4:7" x14ac:dyDescent="0.3">
      <c r="D397" s="3"/>
      <c r="E397" s="3"/>
      <c r="F397" s="3"/>
      <c r="G397" s="3"/>
    </row>
    <row r="398" spans="4:7" x14ac:dyDescent="0.3">
      <c r="D398" s="3"/>
      <c r="E398" s="3"/>
      <c r="F398" s="3"/>
      <c r="G398" s="3"/>
    </row>
    <row r="399" spans="4:7" x14ac:dyDescent="0.3">
      <c r="D399" s="3"/>
      <c r="E399" s="3"/>
      <c r="F399" s="3"/>
      <c r="G399" s="3"/>
    </row>
    <row r="400" spans="4:7" x14ac:dyDescent="0.3">
      <c r="D400" s="3"/>
      <c r="E400" s="3"/>
      <c r="F400" s="3"/>
      <c r="G400" s="3"/>
    </row>
    <row r="401" spans="4:7" x14ac:dyDescent="0.3">
      <c r="D401" s="3"/>
      <c r="E401" s="3"/>
      <c r="F401" s="3"/>
      <c r="G401" s="3"/>
    </row>
    <row r="402" spans="4:7" x14ac:dyDescent="0.3">
      <c r="D402" s="3"/>
      <c r="E402" s="3"/>
      <c r="F402" s="3"/>
      <c r="G402" s="3"/>
    </row>
    <row r="403" spans="4:7" x14ac:dyDescent="0.3">
      <c r="D403" s="3"/>
      <c r="E403" s="3"/>
      <c r="F403" s="3"/>
      <c r="G403" s="3"/>
    </row>
    <row r="404" spans="4:7" x14ac:dyDescent="0.3">
      <c r="D404" s="3"/>
      <c r="E404" s="3"/>
      <c r="F404" s="3"/>
      <c r="G404" s="3"/>
    </row>
    <row r="405" spans="4:7" x14ac:dyDescent="0.3">
      <c r="D405" s="3"/>
      <c r="E405" s="3"/>
      <c r="F405" s="3"/>
      <c r="G405" s="3"/>
    </row>
    <row r="406" spans="4:7" x14ac:dyDescent="0.3">
      <c r="D406" s="3"/>
      <c r="E406" s="3"/>
      <c r="F406" s="3"/>
      <c r="G406" s="3"/>
    </row>
    <row r="407" spans="4:7" x14ac:dyDescent="0.3">
      <c r="D407" s="3"/>
      <c r="E407" s="3"/>
      <c r="F407" s="3"/>
      <c r="G407" s="3"/>
    </row>
    <row r="408" spans="4:7" x14ac:dyDescent="0.3">
      <c r="D408" s="3"/>
      <c r="E408" s="3"/>
      <c r="F408" s="3"/>
      <c r="G408" s="3"/>
    </row>
    <row r="409" spans="4:7" x14ac:dyDescent="0.3">
      <c r="D409" s="3"/>
      <c r="E409" s="3"/>
      <c r="F409" s="3"/>
      <c r="G409" s="3"/>
    </row>
    <row r="410" spans="4:7" x14ac:dyDescent="0.3">
      <c r="D410" s="3"/>
      <c r="E410" s="3"/>
      <c r="F410" s="3"/>
      <c r="G410" s="3"/>
    </row>
    <row r="411" spans="4:7" x14ac:dyDescent="0.3">
      <c r="D411" s="3"/>
      <c r="E411" s="3"/>
      <c r="F411" s="3"/>
      <c r="G411" s="3"/>
    </row>
    <row r="412" spans="4:7" x14ac:dyDescent="0.3">
      <c r="D412" s="3"/>
      <c r="E412" s="3"/>
      <c r="F412" s="3"/>
      <c r="G412" s="3"/>
    </row>
    <row r="413" spans="4:7" x14ac:dyDescent="0.3">
      <c r="D413" s="3"/>
      <c r="E413" s="3"/>
      <c r="F413" s="3"/>
      <c r="G413" s="3"/>
    </row>
    <row r="414" spans="4:7" x14ac:dyDescent="0.3">
      <c r="D414" s="3"/>
      <c r="E414" s="3"/>
      <c r="F414" s="3"/>
      <c r="G414" s="3"/>
    </row>
    <row r="415" spans="4:7" x14ac:dyDescent="0.3">
      <c r="D415" s="3"/>
      <c r="E415" s="3"/>
      <c r="F415" s="3"/>
      <c r="G415" s="3"/>
    </row>
    <row r="416" spans="4:7" x14ac:dyDescent="0.3">
      <c r="D416" s="3"/>
      <c r="E416" s="3"/>
      <c r="F416" s="3"/>
      <c r="G416" s="3"/>
    </row>
    <row r="417" spans="4:7" x14ac:dyDescent="0.3">
      <c r="D417" s="3"/>
      <c r="E417" s="3"/>
      <c r="F417" s="3"/>
      <c r="G417" s="3"/>
    </row>
    <row r="418" spans="4:7" x14ac:dyDescent="0.3">
      <c r="D418" s="3"/>
      <c r="E418" s="3"/>
      <c r="F418" s="3"/>
      <c r="G418" s="3"/>
    </row>
    <row r="419" spans="4:7" x14ac:dyDescent="0.3">
      <c r="D419" s="3"/>
      <c r="E419" s="3"/>
      <c r="F419" s="3"/>
      <c r="G419" s="3"/>
    </row>
    <row r="420" spans="4:7" x14ac:dyDescent="0.3">
      <c r="D420" s="3"/>
      <c r="E420" s="3"/>
      <c r="F420" s="3"/>
      <c r="G420" s="3"/>
    </row>
    <row r="421" spans="4:7" x14ac:dyDescent="0.3">
      <c r="D421" s="3"/>
      <c r="E421" s="3"/>
      <c r="F421" s="3"/>
      <c r="G421" s="3"/>
    </row>
    <row r="422" spans="4:7" x14ac:dyDescent="0.3">
      <c r="D422" s="3"/>
      <c r="E422" s="3"/>
      <c r="F422" s="3"/>
      <c r="G422" s="3"/>
    </row>
    <row r="423" spans="4:7" x14ac:dyDescent="0.3">
      <c r="D423" s="3"/>
      <c r="E423" s="3"/>
      <c r="F423" s="3"/>
      <c r="G423" s="3"/>
    </row>
    <row r="424" spans="4:7" x14ac:dyDescent="0.3">
      <c r="D424" s="3"/>
      <c r="E424" s="3"/>
      <c r="F424" s="3"/>
      <c r="G424" s="3"/>
    </row>
    <row r="425" spans="4:7" x14ac:dyDescent="0.3">
      <c r="D425" s="3"/>
      <c r="E425" s="3"/>
      <c r="F425" s="3"/>
      <c r="G425" s="3"/>
    </row>
    <row r="426" spans="4:7" x14ac:dyDescent="0.3">
      <c r="D426" s="3"/>
      <c r="E426" s="3"/>
      <c r="F426" s="3"/>
      <c r="G426" s="3"/>
    </row>
    <row r="427" spans="4:7" x14ac:dyDescent="0.3">
      <c r="D427" s="3"/>
      <c r="E427" s="3"/>
      <c r="F427" s="3"/>
      <c r="G427" s="3"/>
    </row>
    <row r="428" spans="4:7" x14ac:dyDescent="0.3">
      <c r="D428" s="3"/>
      <c r="E428" s="3"/>
      <c r="F428" s="3"/>
      <c r="G428" s="3"/>
    </row>
    <row r="429" spans="4:7" x14ac:dyDescent="0.3">
      <c r="D429" s="3"/>
      <c r="E429" s="3"/>
      <c r="F429" s="3"/>
      <c r="G429" s="3"/>
    </row>
    <row r="430" spans="4:7" x14ac:dyDescent="0.3">
      <c r="D430" s="3"/>
      <c r="E430" s="3"/>
      <c r="F430" s="3"/>
      <c r="G430" s="3"/>
    </row>
    <row r="431" spans="4:7" x14ac:dyDescent="0.3">
      <c r="D431" s="3"/>
      <c r="E431" s="3"/>
      <c r="F431" s="3"/>
      <c r="G431" s="3"/>
    </row>
    <row r="432" spans="4:7" x14ac:dyDescent="0.3">
      <c r="D432" s="3"/>
      <c r="E432" s="3"/>
      <c r="F432" s="3"/>
      <c r="G432" s="3"/>
    </row>
    <row r="433" spans="4:7" x14ac:dyDescent="0.3">
      <c r="D433" s="3"/>
      <c r="E433" s="3"/>
      <c r="F433" s="3"/>
      <c r="G433" s="3"/>
    </row>
    <row r="434" spans="4:7" x14ac:dyDescent="0.3">
      <c r="D434" s="3"/>
      <c r="E434" s="3"/>
      <c r="F434" s="3"/>
      <c r="G434" s="3"/>
    </row>
    <row r="435" spans="4:7" x14ac:dyDescent="0.3">
      <c r="D435" s="3"/>
      <c r="E435" s="3"/>
      <c r="F435" s="3"/>
      <c r="G435" s="3"/>
    </row>
    <row r="436" spans="4:7" x14ac:dyDescent="0.3">
      <c r="D436" s="3"/>
      <c r="E436" s="3"/>
      <c r="F436" s="3"/>
      <c r="G436" s="3"/>
    </row>
    <row r="437" spans="4:7" x14ac:dyDescent="0.3">
      <c r="D437" s="3"/>
      <c r="E437" s="3"/>
      <c r="F437" s="3"/>
      <c r="G437" s="3"/>
    </row>
    <row r="438" spans="4:7" x14ac:dyDescent="0.3">
      <c r="D438" s="3"/>
      <c r="E438" s="3"/>
      <c r="F438" s="3"/>
      <c r="G438" s="3"/>
    </row>
    <row r="439" spans="4:7" x14ac:dyDescent="0.3">
      <c r="D439" s="3"/>
      <c r="E439" s="3"/>
      <c r="F439" s="3"/>
      <c r="G439" s="3"/>
    </row>
    <row r="440" spans="4:7" x14ac:dyDescent="0.3">
      <c r="D440" s="3"/>
      <c r="E440" s="3"/>
      <c r="F440" s="3"/>
      <c r="G440" s="3"/>
    </row>
    <row r="441" spans="4:7" x14ac:dyDescent="0.3">
      <c r="D441" s="3"/>
      <c r="E441" s="3"/>
      <c r="F441" s="3"/>
      <c r="G441" s="3"/>
    </row>
    <row r="442" spans="4:7" x14ac:dyDescent="0.3">
      <c r="D442" s="3"/>
      <c r="E442" s="3"/>
      <c r="F442" s="3"/>
      <c r="G442" s="3"/>
    </row>
    <row r="443" spans="4:7" x14ac:dyDescent="0.3">
      <c r="D443" s="3"/>
      <c r="E443" s="3"/>
      <c r="F443" s="3"/>
      <c r="G443" s="3"/>
    </row>
    <row r="444" spans="4:7" x14ac:dyDescent="0.3">
      <c r="D444" s="3"/>
      <c r="E444" s="3"/>
      <c r="F444" s="3"/>
      <c r="G444" s="3"/>
    </row>
    <row r="445" spans="4:7" x14ac:dyDescent="0.3">
      <c r="D445" s="3"/>
      <c r="E445" s="3"/>
      <c r="F445" s="3"/>
      <c r="G445" s="3"/>
    </row>
    <row r="446" spans="4:7" x14ac:dyDescent="0.3">
      <c r="D446" s="3"/>
      <c r="E446" s="3"/>
      <c r="F446" s="3"/>
      <c r="G446" s="3"/>
    </row>
    <row r="447" spans="4:7" x14ac:dyDescent="0.3">
      <c r="D447" s="3"/>
      <c r="E447" s="3"/>
      <c r="F447" s="3"/>
      <c r="G447" s="3"/>
    </row>
    <row r="448" spans="4:7" x14ac:dyDescent="0.3">
      <c r="D448" s="3"/>
      <c r="E448" s="3"/>
      <c r="F448" s="3"/>
      <c r="G448" s="3"/>
    </row>
    <row r="449" spans="4:7" x14ac:dyDescent="0.3">
      <c r="D449" s="3"/>
      <c r="E449" s="3"/>
      <c r="F449" s="3"/>
      <c r="G449" s="3"/>
    </row>
    <row r="450" spans="4:7" x14ac:dyDescent="0.3">
      <c r="D450" s="3"/>
      <c r="E450" s="3"/>
      <c r="F450" s="3"/>
      <c r="G450" s="3"/>
    </row>
    <row r="451" spans="4:7" x14ac:dyDescent="0.3">
      <c r="D451" s="3"/>
      <c r="E451" s="3"/>
      <c r="F451" s="3"/>
      <c r="G451" s="3"/>
    </row>
    <row r="452" spans="4:7" x14ac:dyDescent="0.3">
      <c r="D452" s="3"/>
      <c r="E452" s="3"/>
      <c r="F452" s="3"/>
      <c r="G452" s="3"/>
    </row>
    <row r="453" spans="4:7" x14ac:dyDescent="0.3">
      <c r="D453" s="3"/>
      <c r="E453" s="3"/>
      <c r="F453" s="3"/>
      <c r="G453" s="3"/>
    </row>
    <row r="454" spans="4:7" x14ac:dyDescent="0.3">
      <c r="D454" s="3"/>
      <c r="E454" s="3"/>
      <c r="F454" s="3"/>
      <c r="G454" s="3"/>
    </row>
    <row r="455" spans="4:7" x14ac:dyDescent="0.3">
      <c r="D455" s="3"/>
      <c r="E455" s="3"/>
      <c r="F455" s="3"/>
      <c r="G455" s="3"/>
    </row>
    <row r="456" spans="4:7" x14ac:dyDescent="0.3">
      <c r="D456" s="3"/>
      <c r="E456" s="3"/>
      <c r="F456" s="3"/>
      <c r="G456" s="3"/>
    </row>
    <row r="457" spans="4:7" x14ac:dyDescent="0.3">
      <c r="D457" s="3"/>
      <c r="E457" s="3"/>
      <c r="F457" s="3"/>
      <c r="G457" s="3"/>
    </row>
    <row r="458" spans="4:7" x14ac:dyDescent="0.3">
      <c r="D458" s="3"/>
      <c r="E458" s="3"/>
      <c r="F458" s="3"/>
      <c r="G458" s="3"/>
    </row>
    <row r="459" spans="4:7" x14ac:dyDescent="0.3">
      <c r="D459" s="3"/>
      <c r="E459" s="3"/>
      <c r="F459" s="3"/>
      <c r="G459" s="3"/>
    </row>
    <row r="460" spans="4:7" x14ac:dyDescent="0.3">
      <c r="D460" s="3"/>
      <c r="E460" s="3"/>
      <c r="F460" s="3"/>
      <c r="G460" s="3"/>
    </row>
    <row r="461" spans="4:7" x14ac:dyDescent="0.3">
      <c r="D461" s="3"/>
      <c r="E461" s="3"/>
      <c r="F461" s="3"/>
      <c r="G461" s="3"/>
    </row>
    <row r="462" spans="4:7" x14ac:dyDescent="0.3">
      <c r="D462" s="3"/>
      <c r="E462" s="3"/>
      <c r="F462" s="3"/>
      <c r="G462" s="3"/>
    </row>
    <row r="463" spans="4:7" x14ac:dyDescent="0.3">
      <c r="D463" s="3"/>
      <c r="E463" s="3"/>
      <c r="F463" s="3"/>
      <c r="G463" s="3"/>
    </row>
    <row r="464" spans="4:7" x14ac:dyDescent="0.3">
      <c r="D464" s="3"/>
      <c r="E464" s="3"/>
      <c r="F464" s="3"/>
      <c r="G464" s="3"/>
    </row>
    <row r="465" spans="4:7" x14ac:dyDescent="0.3">
      <c r="D465" s="3"/>
      <c r="E465" s="3"/>
      <c r="F465" s="3"/>
      <c r="G465" s="3"/>
    </row>
    <row r="466" spans="4:7" x14ac:dyDescent="0.3">
      <c r="D466" s="3"/>
      <c r="E466" s="3"/>
      <c r="F466" s="3"/>
      <c r="G466" s="3"/>
    </row>
    <row r="467" spans="4:7" x14ac:dyDescent="0.3">
      <c r="D467" s="3"/>
      <c r="E467" s="3"/>
      <c r="F467" s="3"/>
      <c r="G467" s="3"/>
    </row>
    <row r="468" spans="4:7" x14ac:dyDescent="0.3">
      <c r="D468" s="3"/>
      <c r="E468" s="3"/>
      <c r="F468" s="3"/>
      <c r="G468" s="3"/>
    </row>
    <row r="469" spans="4:7" x14ac:dyDescent="0.3">
      <c r="D469" s="3"/>
      <c r="E469" s="3"/>
      <c r="F469" s="3"/>
      <c r="G469" s="3"/>
    </row>
    <row r="470" spans="4:7" x14ac:dyDescent="0.3">
      <c r="D470" s="3"/>
      <c r="E470" s="3"/>
      <c r="F470" s="3"/>
      <c r="G470" s="3"/>
    </row>
    <row r="471" spans="4:7" x14ac:dyDescent="0.3">
      <c r="D471" s="3"/>
      <c r="E471" s="3"/>
      <c r="F471" s="3"/>
      <c r="G471" s="3"/>
    </row>
    <row r="472" spans="4:7" x14ac:dyDescent="0.3">
      <c r="D472" s="3"/>
      <c r="E472" s="3"/>
      <c r="F472" s="3"/>
      <c r="G472" s="3"/>
    </row>
    <row r="473" spans="4:7" x14ac:dyDescent="0.3">
      <c r="D473" s="3"/>
      <c r="E473" s="3"/>
      <c r="F473" s="3"/>
      <c r="G473" s="3"/>
    </row>
    <row r="474" spans="4:7" x14ac:dyDescent="0.3">
      <c r="D474" s="3"/>
      <c r="E474" s="3"/>
      <c r="F474" s="3"/>
      <c r="G474" s="3"/>
    </row>
    <row r="475" spans="4:7" x14ac:dyDescent="0.3">
      <c r="D475" s="3"/>
      <c r="E475" s="3"/>
      <c r="F475" s="3"/>
      <c r="G475" s="3"/>
    </row>
    <row r="476" spans="4:7" x14ac:dyDescent="0.3">
      <c r="D476" s="3"/>
      <c r="E476" s="3"/>
      <c r="F476" s="3"/>
      <c r="G476" s="3"/>
    </row>
    <row r="477" spans="4:7" x14ac:dyDescent="0.3">
      <c r="D477" s="3"/>
      <c r="E477" s="3"/>
      <c r="F477" s="3"/>
      <c r="G477" s="3"/>
    </row>
    <row r="478" spans="4:7" x14ac:dyDescent="0.3">
      <c r="D478" s="3"/>
      <c r="E478" s="3"/>
      <c r="F478" s="3"/>
      <c r="G478" s="3"/>
    </row>
    <row r="479" spans="4:7" x14ac:dyDescent="0.3">
      <c r="D479" s="3"/>
      <c r="E479" s="3"/>
      <c r="F479" s="3"/>
      <c r="G479" s="3"/>
    </row>
    <row r="480" spans="4:7" x14ac:dyDescent="0.3">
      <c r="D480" s="3"/>
      <c r="E480" s="3"/>
      <c r="F480" s="3"/>
      <c r="G480" s="3"/>
    </row>
    <row r="481" spans="4:7" x14ac:dyDescent="0.3">
      <c r="D481" s="3"/>
      <c r="E481" s="3"/>
      <c r="F481" s="3"/>
      <c r="G481" s="3"/>
    </row>
    <row r="482" spans="4:7" x14ac:dyDescent="0.3">
      <c r="D482" s="3"/>
      <c r="E482" s="3"/>
      <c r="F482" s="3"/>
      <c r="G482" s="3"/>
    </row>
    <row r="483" spans="4:7" x14ac:dyDescent="0.3">
      <c r="D483" s="3"/>
      <c r="E483" s="3"/>
      <c r="F483" s="3"/>
      <c r="G483" s="3"/>
    </row>
    <row r="484" spans="4:7" x14ac:dyDescent="0.3">
      <c r="D484" s="3"/>
      <c r="E484" s="3"/>
      <c r="F484" s="3"/>
      <c r="G484" s="3"/>
    </row>
    <row r="485" spans="4:7" x14ac:dyDescent="0.3">
      <c r="D485" s="3"/>
      <c r="E485" s="3"/>
      <c r="F485" s="3"/>
      <c r="G485" s="3"/>
    </row>
    <row r="486" spans="4:7" x14ac:dyDescent="0.3">
      <c r="D486" s="3"/>
      <c r="E486" s="3"/>
      <c r="F486" s="3"/>
      <c r="G486" s="3"/>
    </row>
    <row r="487" spans="4:7" x14ac:dyDescent="0.3">
      <c r="D487" s="3"/>
      <c r="E487" s="3"/>
      <c r="F487" s="3"/>
      <c r="G487" s="3"/>
    </row>
    <row r="488" spans="4:7" x14ac:dyDescent="0.3">
      <c r="D488" s="3"/>
      <c r="E488" s="3"/>
      <c r="F488" s="3"/>
      <c r="G488" s="3"/>
    </row>
    <row r="489" spans="4:7" x14ac:dyDescent="0.3">
      <c r="D489" s="3"/>
      <c r="E489" s="3"/>
      <c r="F489" s="3"/>
      <c r="G489" s="3"/>
    </row>
    <row r="490" spans="4:7" x14ac:dyDescent="0.3">
      <c r="D490" s="3"/>
      <c r="E490" s="3"/>
      <c r="F490" s="3"/>
      <c r="G490" s="3"/>
    </row>
    <row r="491" spans="4:7" x14ac:dyDescent="0.3">
      <c r="D491" s="3"/>
      <c r="E491" s="3"/>
      <c r="F491" s="3"/>
      <c r="G491" s="3"/>
    </row>
    <row r="492" spans="4:7" x14ac:dyDescent="0.3">
      <c r="D492" s="3"/>
      <c r="E492" s="3"/>
      <c r="F492" s="3"/>
      <c r="G492" s="3"/>
    </row>
    <row r="493" spans="4:7" x14ac:dyDescent="0.3">
      <c r="D493" s="3"/>
      <c r="E493" s="3"/>
      <c r="F493" s="3"/>
      <c r="G493" s="3"/>
    </row>
    <row r="494" spans="4:7" x14ac:dyDescent="0.3">
      <c r="D494" s="3"/>
      <c r="E494" s="3"/>
      <c r="F494" s="3"/>
      <c r="G494" s="3"/>
    </row>
    <row r="495" spans="4:7" x14ac:dyDescent="0.3">
      <c r="D495" s="3"/>
      <c r="E495" s="3"/>
      <c r="F495" s="3"/>
      <c r="G495" s="3"/>
    </row>
    <row r="496" spans="4:7" x14ac:dyDescent="0.3">
      <c r="D496" s="3"/>
      <c r="E496" s="3"/>
      <c r="F496" s="3"/>
      <c r="G496" s="3"/>
    </row>
    <row r="497" spans="4:7" x14ac:dyDescent="0.3">
      <c r="D497" s="3"/>
      <c r="E497" s="3"/>
      <c r="F497" s="3"/>
      <c r="G497" s="3"/>
    </row>
    <row r="498" spans="4:7" x14ac:dyDescent="0.3">
      <c r="D498" s="3"/>
      <c r="E498" s="3"/>
      <c r="F498" s="3"/>
      <c r="G498" s="3"/>
    </row>
    <row r="499" spans="4:7" x14ac:dyDescent="0.3">
      <c r="D499" s="3"/>
      <c r="E499" s="3"/>
      <c r="F499" s="3"/>
      <c r="G499" s="3"/>
    </row>
    <row r="500" spans="4:7" x14ac:dyDescent="0.3">
      <c r="D500" s="3"/>
      <c r="E500" s="3"/>
      <c r="F500" s="3"/>
      <c r="G500" s="3"/>
    </row>
    <row r="501" spans="4:7" x14ac:dyDescent="0.3">
      <c r="D501" s="3"/>
      <c r="E501" s="3"/>
      <c r="F501" s="3"/>
      <c r="G501" s="3"/>
    </row>
    <row r="502" spans="4:7" x14ac:dyDescent="0.3">
      <c r="D502" s="3"/>
      <c r="E502" s="3"/>
      <c r="F502" s="3"/>
      <c r="G502" s="3"/>
    </row>
    <row r="503" spans="4:7" x14ac:dyDescent="0.3">
      <c r="D503" s="3"/>
      <c r="E503" s="3"/>
      <c r="F503" s="3"/>
      <c r="G503" s="3"/>
    </row>
    <row r="504" spans="4:7" x14ac:dyDescent="0.3">
      <c r="D504" s="3"/>
      <c r="E504" s="3"/>
      <c r="F504" s="3"/>
      <c r="G504" s="3"/>
    </row>
    <row r="505" spans="4:7" x14ac:dyDescent="0.3">
      <c r="D505" s="3"/>
      <c r="E505" s="3"/>
      <c r="F505" s="3"/>
      <c r="G505" s="3"/>
    </row>
    <row r="506" spans="4:7" x14ac:dyDescent="0.3">
      <c r="D506" s="3"/>
      <c r="E506" s="3"/>
      <c r="F506" s="3"/>
      <c r="G506" s="3"/>
    </row>
    <row r="507" spans="4:7" x14ac:dyDescent="0.3">
      <c r="D507" s="3"/>
      <c r="E507" s="3"/>
      <c r="F507" s="3"/>
      <c r="G507" s="3"/>
    </row>
    <row r="508" spans="4:7" x14ac:dyDescent="0.3">
      <c r="D508" s="3"/>
      <c r="E508" s="3"/>
      <c r="F508" s="3"/>
      <c r="G508" s="3"/>
    </row>
    <row r="509" spans="4:7" x14ac:dyDescent="0.3">
      <c r="D509" s="3"/>
      <c r="E509" s="3"/>
      <c r="F509" s="3"/>
      <c r="G509" s="3"/>
    </row>
    <row r="510" spans="4:7" x14ac:dyDescent="0.3">
      <c r="D510" s="3"/>
      <c r="E510" s="3"/>
      <c r="F510" s="3"/>
      <c r="G510" s="3"/>
    </row>
    <row r="511" spans="4:7" x14ac:dyDescent="0.3">
      <c r="D511" s="3"/>
      <c r="E511" s="3"/>
      <c r="F511" s="3"/>
      <c r="G511" s="3"/>
    </row>
    <row r="512" spans="4:7" x14ac:dyDescent="0.3">
      <c r="D512" s="3"/>
      <c r="E512" s="3"/>
      <c r="F512" s="3"/>
      <c r="G512" s="3"/>
    </row>
    <row r="513" spans="4:7" x14ac:dyDescent="0.3">
      <c r="D513" s="3"/>
      <c r="E513" s="3"/>
      <c r="F513" s="3"/>
      <c r="G513" s="3"/>
    </row>
    <row r="514" spans="4:7" x14ac:dyDescent="0.3">
      <c r="D514" s="3"/>
      <c r="E514" s="3"/>
      <c r="F514" s="3"/>
      <c r="G514" s="3"/>
    </row>
    <row r="515" spans="4:7" x14ac:dyDescent="0.3">
      <c r="D515" s="3"/>
      <c r="E515" s="3"/>
      <c r="F515" s="3"/>
      <c r="G515" s="3"/>
    </row>
    <row r="516" spans="4:7" x14ac:dyDescent="0.3">
      <c r="D516" s="3"/>
      <c r="E516" s="3"/>
      <c r="F516" s="3"/>
      <c r="G516" s="3"/>
    </row>
    <row r="517" spans="4:7" x14ac:dyDescent="0.3">
      <c r="D517" s="3"/>
      <c r="E517" s="3"/>
      <c r="F517" s="3"/>
      <c r="G517" s="3"/>
    </row>
    <row r="518" spans="4:7" x14ac:dyDescent="0.3">
      <c r="D518" s="3"/>
      <c r="E518" s="3"/>
      <c r="F518" s="3"/>
      <c r="G518" s="3"/>
    </row>
    <row r="519" spans="4:7" x14ac:dyDescent="0.3">
      <c r="D519" s="3"/>
      <c r="E519" s="3"/>
      <c r="F519" s="3"/>
      <c r="G519" s="3"/>
    </row>
    <row r="520" spans="4:7" x14ac:dyDescent="0.3">
      <c r="D520" s="3"/>
      <c r="E520" s="3"/>
      <c r="F520" s="3"/>
      <c r="G520" s="3"/>
    </row>
    <row r="521" spans="4:7" x14ac:dyDescent="0.3">
      <c r="D521" s="3"/>
      <c r="E521" s="3"/>
      <c r="F521" s="3"/>
      <c r="G521" s="3"/>
    </row>
    <row r="522" spans="4:7" x14ac:dyDescent="0.3">
      <c r="D522" s="3"/>
      <c r="E522" s="3"/>
      <c r="F522" s="3"/>
      <c r="G522" s="3"/>
    </row>
    <row r="523" spans="4:7" x14ac:dyDescent="0.3">
      <c r="D523" s="3"/>
      <c r="E523" s="3"/>
      <c r="F523" s="3"/>
      <c r="G523" s="3"/>
    </row>
    <row r="524" spans="4:7" x14ac:dyDescent="0.3">
      <c r="D524" s="3"/>
      <c r="E524" s="3"/>
      <c r="F524" s="3"/>
      <c r="G524" s="3"/>
    </row>
    <row r="525" spans="4:7" x14ac:dyDescent="0.3">
      <c r="D525" s="3"/>
      <c r="E525" s="3"/>
      <c r="F525" s="3"/>
      <c r="G525" s="3"/>
    </row>
    <row r="526" spans="4:7" x14ac:dyDescent="0.3">
      <c r="D526" s="3"/>
      <c r="E526" s="3"/>
      <c r="F526" s="3"/>
      <c r="G526" s="3"/>
    </row>
    <row r="527" spans="4:7" x14ac:dyDescent="0.3">
      <c r="D527" s="3"/>
      <c r="E527" s="3"/>
      <c r="F527" s="3"/>
      <c r="G527" s="3"/>
    </row>
    <row r="528" spans="4:7" x14ac:dyDescent="0.3">
      <c r="D528" s="3"/>
      <c r="E528" s="3"/>
      <c r="F528" s="3"/>
      <c r="G528" s="3"/>
    </row>
    <row r="529" spans="4:7" x14ac:dyDescent="0.3">
      <c r="D529" s="3"/>
      <c r="E529" s="3"/>
      <c r="F529" s="3"/>
      <c r="G529" s="3"/>
    </row>
    <row r="530" spans="4:7" x14ac:dyDescent="0.3">
      <c r="D530" s="3"/>
      <c r="E530" s="3"/>
      <c r="F530" s="3"/>
      <c r="G530" s="3"/>
    </row>
    <row r="531" spans="4:7" x14ac:dyDescent="0.3">
      <c r="D531" s="3"/>
      <c r="E531" s="3"/>
      <c r="F531" s="3"/>
      <c r="G531" s="3"/>
    </row>
    <row r="532" spans="4:7" x14ac:dyDescent="0.3">
      <c r="D532" s="3"/>
      <c r="E532" s="3"/>
      <c r="F532" s="3"/>
      <c r="G532" s="3"/>
    </row>
    <row r="533" spans="4:7" x14ac:dyDescent="0.3">
      <c r="D533" s="3"/>
      <c r="E533" s="3"/>
      <c r="F533" s="3"/>
      <c r="G533" s="3"/>
    </row>
    <row r="534" spans="4:7" x14ac:dyDescent="0.3">
      <c r="D534" s="3"/>
      <c r="E534" s="3"/>
      <c r="F534" s="3"/>
      <c r="G534" s="3"/>
    </row>
    <row r="535" spans="4:7" x14ac:dyDescent="0.3">
      <c r="D535" s="3"/>
      <c r="E535" s="3"/>
      <c r="F535" s="3"/>
      <c r="G535" s="3"/>
    </row>
    <row r="536" spans="4:7" x14ac:dyDescent="0.3">
      <c r="D536" s="3"/>
      <c r="E536" s="3"/>
      <c r="F536" s="3"/>
      <c r="G536" s="3"/>
    </row>
    <row r="537" spans="4:7" x14ac:dyDescent="0.3">
      <c r="D537" s="3"/>
      <c r="E537" s="3"/>
      <c r="F537" s="3"/>
      <c r="G537" s="3"/>
    </row>
    <row r="538" spans="4:7" x14ac:dyDescent="0.3">
      <c r="D538" s="3"/>
      <c r="E538" s="3"/>
      <c r="F538" s="3"/>
      <c r="G538" s="3"/>
    </row>
    <row r="539" spans="4:7" x14ac:dyDescent="0.3">
      <c r="D539" s="3"/>
      <c r="E539" s="3"/>
      <c r="F539" s="3"/>
      <c r="G539" s="3"/>
    </row>
    <row r="540" spans="4:7" x14ac:dyDescent="0.3">
      <c r="D540" s="3"/>
      <c r="E540" s="3"/>
      <c r="F540" s="3"/>
      <c r="G540" s="3"/>
    </row>
    <row r="541" spans="4:7" x14ac:dyDescent="0.3">
      <c r="D541" s="3"/>
      <c r="E541" s="3"/>
      <c r="F541" s="3"/>
      <c r="G541" s="3"/>
    </row>
    <row r="542" spans="4:7" x14ac:dyDescent="0.3">
      <c r="D542" s="3"/>
      <c r="E542" s="3"/>
      <c r="F542" s="3"/>
      <c r="G542" s="3"/>
    </row>
    <row r="543" spans="4:7" x14ac:dyDescent="0.3">
      <c r="D543" s="3"/>
      <c r="E543" s="3"/>
      <c r="F543" s="3"/>
      <c r="G543" s="3"/>
    </row>
    <row r="544" spans="4:7" x14ac:dyDescent="0.3">
      <c r="D544" s="3"/>
      <c r="E544" s="3"/>
      <c r="F544" s="3"/>
      <c r="G544" s="3"/>
    </row>
    <row r="545" spans="4:7" x14ac:dyDescent="0.3">
      <c r="D545" s="3"/>
      <c r="E545" s="3"/>
      <c r="F545" s="3"/>
      <c r="G545" s="3"/>
    </row>
    <row r="546" spans="4:7" x14ac:dyDescent="0.3">
      <c r="D546" s="3"/>
      <c r="E546" s="3"/>
      <c r="F546" s="3"/>
      <c r="G546" s="3"/>
    </row>
    <row r="547" spans="4:7" x14ac:dyDescent="0.3">
      <c r="D547" s="3"/>
      <c r="E547" s="3"/>
      <c r="F547" s="3"/>
      <c r="G547" s="3"/>
    </row>
    <row r="548" spans="4:7" x14ac:dyDescent="0.3">
      <c r="D548" s="3"/>
      <c r="E548" s="3"/>
      <c r="F548" s="3"/>
      <c r="G548" s="3"/>
    </row>
    <row r="549" spans="4:7" x14ac:dyDescent="0.3">
      <c r="D549" s="3"/>
      <c r="E549" s="3"/>
      <c r="F549" s="3"/>
      <c r="G549" s="3"/>
    </row>
    <row r="550" spans="4:7" x14ac:dyDescent="0.3">
      <c r="D550" s="3"/>
      <c r="E550" s="3"/>
      <c r="F550" s="3"/>
      <c r="G550" s="3"/>
    </row>
    <row r="551" spans="4:7" x14ac:dyDescent="0.3">
      <c r="D551" s="3"/>
      <c r="E551" s="3"/>
      <c r="F551" s="3"/>
      <c r="G551" s="3"/>
    </row>
    <row r="552" spans="4:7" x14ac:dyDescent="0.3">
      <c r="D552" s="3"/>
      <c r="E552" s="3"/>
      <c r="F552" s="3"/>
      <c r="G552" s="3"/>
    </row>
    <row r="553" spans="4:7" x14ac:dyDescent="0.3">
      <c r="D553" s="3"/>
      <c r="E553" s="3"/>
      <c r="F553" s="3"/>
      <c r="G553" s="3"/>
    </row>
    <row r="554" spans="4:7" x14ac:dyDescent="0.3">
      <c r="D554" s="3"/>
      <c r="E554" s="3"/>
      <c r="F554" s="3"/>
      <c r="G554" s="3"/>
    </row>
    <row r="555" spans="4:7" x14ac:dyDescent="0.3">
      <c r="D555" s="3"/>
      <c r="E555" s="3"/>
      <c r="F555" s="3"/>
      <c r="G555" s="3"/>
    </row>
    <row r="556" spans="4:7" x14ac:dyDescent="0.3">
      <c r="D556" s="3"/>
      <c r="E556" s="3"/>
      <c r="F556" s="3"/>
      <c r="G556" s="3"/>
    </row>
    <row r="557" spans="4:7" x14ac:dyDescent="0.3">
      <c r="D557" s="3"/>
      <c r="E557" s="3"/>
      <c r="F557" s="3"/>
      <c r="G557" s="3"/>
    </row>
    <row r="558" spans="4:7" x14ac:dyDescent="0.3">
      <c r="D558" s="3"/>
      <c r="E558" s="3"/>
      <c r="F558" s="3"/>
      <c r="G558" s="3"/>
    </row>
    <row r="559" spans="4:7" x14ac:dyDescent="0.3">
      <c r="D559" s="3"/>
      <c r="E559" s="3"/>
      <c r="F559" s="3"/>
      <c r="G559" s="3"/>
    </row>
    <row r="560" spans="4:7" x14ac:dyDescent="0.3">
      <c r="D560" s="3"/>
      <c r="E560" s="3"/>
      <c r="F560" s="3"/>
      <c r="G560" s="3"/>
    </row>
    <row r="561" spans="4:7" x14ac:dyDescent="0.3">
      <c r="D561" s="3"/>
      <c r="E561" s="3"/>
      <c r="F561" s="3"/>
      <c r="G561" s="3"/>
    </row>
    <row r="562" spans="4:7" x14ac:dyDescent="0.3">
      <c r="D562" s="3"/>
      <c r="E562" s="3"/>
      <c r="F562" s="3"/>
      <c r="G562" s="3"/>
    </row>
    <row r="563" spans="4:7" x14ac:dyDescent="0.3">
      <c r="D563" s="3"/>
      <c r="E563" s="3"/>
      <c r="F563" s="3"/>
      <c r="G563" s="3"/>
    </row>
    <row r="564" spans="4:7" x14ac:dyDescent="0.3">
      <c r="D564" s="3"/>
      <c r="E564" s="3"/>
      <c r="F564" s="3"/>
      <c r="G564" s="3"/>
    </row>
    <row r="565" spans="4:7" x14ac:dyDescent="0.3">
      <c r="D565" s="3"/>
      <c r="E565" s="3"/>
      <c r="F565" s="3"/>
      <c r="G565" s="3"/>
    </row>
    <row r="566" spans="4:7" x14ac:dyDescent="0.3">
      <c r="D566" s="3"/>
      <c r="E566" s="3"/>
      <c r="F566" s="3"/>
      <c r="G566" s="3"/>
    </row>
    <row r="567" spans="4:7" x14ac:dyDescent="0.3">
      <c r="D567" s="3"/>
      <c r="E567" s="3"/>
      <c r="F567" s="3"/>
      <c r="G567" s="3"/>
    </row>
    <row r="568" spans="4:7" x14ac:dyDescent="0.3">
      <c r="D568" s="3"/>
      <c r="E568" s="3"/>
      <c r="F568" s="3"/>
      <c r="G568" s="3"/>
    </row>
    <row r="569" spans="4:7" x14ac:dyDescent="0.3">
      <c r="D569" s="3"/>
      <c r="E569" s="3"/>
      <c r="F569" s="3"/>
      <c r="G569" s="3"/>
    </row>
    <row r="570" spans="4:7" x14ac:dyDescent="0.3">
      <c r="D570" s="3"/>
      <c r="E570" s="3"/>
      <c r="F570" s="3"/>
      <c r="G570" s="3"/>
    </row>
    <row r="571" spans="4:7" x14ac:dyDescent="0.3">
      <c r="D571" s="3"/>
      <c r="E571" s="3"/>
      <c r="F571" s="3"/>
      <c r="G571" s="3"/>
    </row>
    <row r="572" spans="4:7" x14ac:dyDescent="0.3">
      <c r="D572" s="3"/>
      <c r="E572" s="3"/>
      <c r="F572" s="3"/>
      <c r="G572" s="3"/>
    </row>
    <row r="573" spans="4:7" x14ac:dyDescent="0.3">
      <c r="D573" s="3"/>
      <c r="E573" s="3"/>
      <c r="F573" s="3"/>
      <c r="G573" s="3"/>
    </row>
    <row r="574" spans="4:7" x14ac:dyDescent="0.3">
      <c r="D574" s="3"/>
      <c r="E574" s="3"/>
      <c r="F574" s="3"/>
      <c r="G574" s="3"/>
    </row>
  </sheetData>
  <mergeCells count="27">
    <mergeCell ref="A173:A179"/>
    <mergeCell ref="A180:A186"/>
    <mergeCell ref="A131:A137"/>
    <mergeCell ref="A138:A144"/>
    <mergeCell ref="A145:A151"/>
    <mergeCell ref="A152:A158"/>
    <mergeCell ref="A159:A165"/>
    <mergeCell ref="A166:A172"/>
    <mergeCell ref="A124:A130"/>
    <mergeCell ref="A47:A53"/>
    <mergeCell ref="A54:A60"/>
    <mergeCell ref="A61:A67"/>
    <mergeCell ref="A68:A74"/>
    <mergeCell ref="A75:A81"/>
    <mergeCell ref="A82:A88"/>
    <mergeCell ref="A89:A95"/>
    <mergeCell ref="A96:A102"/>
    <mergeCell ref="A103:A109"/>
    <mergeCell ref="A110:A116"/>
    <mergeCell ref="A117:A123"/>
    <mergeCell ref="A40:A46"/>
    <mergeCell ref="A2:A4"/>
    <mergeCell ref="A5:A11"/>
    <mergeCell ref="A12:A18"/>
    <mergeCell ref="A19:A25"/>
    <mergeCell ref="A26:A32"/>
    <mergeCell ref="A33:A39"/>
  </mergeCells>
  <phoneticPr fontId="2" type="noConversion"/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F9EEE-BFB5-47F9-AEFB-0FDB818280A3}">
  <sheetPr codeName="Tabelle2"/>
  <dimension ref="A1:J66"/>
  <sheetViews>
    <sheetView topLeftCell="A12" workbookViewId="0">
      <selection activeCell="D22" sqref="D22"/>
    </sheetView>
  </sheetViews>
  <sheetFormatPr baseColWidth="10" defaultRowHeight="14.4" x14ac:dyDescent="0.3"/>
  <cols>
    <col min="1" max="1" width="6" bestFit="1" customWidth="1"/>
    <col min="2" max="2" width="8.109375" bestFit="1" customWidth="1"/>
    <col min="6" max="6" width="12.109375" bestFit="1" customWidth="1"/>
    <col min="9" max="9" width="11.5546875" hidden="1" customWidth="1"/>
    <col min="10" max="10" width="0" hidden="1" customWidth="1"/>
  </cols>
  <sheetData>
    <row r="1" spans="1:10" x14ac:dyDescent="0.3">
      <c r="A1" s="2" t="s">
        <v>52</v>
      </c>
      <c r="B1" s="2" t="s">
        <v>46</v>
      </c>
      <c r="C1" s="2" t="s">
        <v>47</v>
      </c>
      <c r="F1" s="2" t="s">
        <v>48</v>
      </c>
    </row>
    <row r="2" spans="1:10" x14ac:dyDescent="0.3">
      <c r="A2" t="s">
        <v>16</v>
      </c>
      <c r="B2" s="10">
        <f>VLOOKUP(A2,Tagesansicht!F1:I185,4,FALSE)</f>
        <v>0.17708333333333331</v>
      </c>
      <c r="C2" s="8">
        <f>B2*$F$2*24</f>
        <v>55.249999999999993</v>
      </c>
      <c r="F2" s="9">
        <v>13</v>
      </c>
      <c r="I2" s="10"/>
    </row>
    <row r="3" spans="1:10" x14ac:dyDescent="0.3">
      <c r="A3" t="s">
        <v>12</v>
      </c>
      <c r="B3" s="10">
        <f>VLOOKUP(A3,Tagesansicht!F2:I186,4,FALSE)</f>
        <v>0.97916666666666674</v>
      </c>
      <c r="C3" s="8">
        <f t="shared" ref="C3:C28" si="0">B3*$F$2*24</f>
        <v>305.5</v>
      </c>
      <c r="I3" s="10">
        <f t="shared" ref="I3:I28" si="1">IF(B3&gt;0,B3,"")</f>
        <v>0.97916666666666674</v>
      </c>
      <c r="J3">
        <f>IF(C3&gt;0,C3,"")</f>
        <v>305.5</v>
      </c>
    </row>
    <row r="4" spans="1:10" x14ac:dyDescent="0.3">
      <c r="A4" t="s">
        <v>13</v>
      </c>
      <c r="B4" s="10">
        <f>VLOOKUP(A4,Tagesansicht!F3:I187,4,FALSE)</f>
        <v>0.72916666666666674</v>
      </c>
      <c r="C4" s="8">
        <f>B4*$F$2*24</f>
        <v>227.50000000000003</v>
      </c>
      <c r="F4" s="2" t="s">
        <v>55</v>
      </c>
      <c r="I4" s="10">
        <f t="shared" si="1"/>
        <v>0.72916666666666674</v>
      </c>
      <c r="J4">
        <f t="shared" ref="J4:J28" si="2">IF(C4&gt;0,C4,"")</f>
        <v>227.50000000000003</v>
      </c>
    </row>
    <row r="5" spans="1:10" x14ac:dyDescent="0.3">
      <c r="A5" t="s">
        <v>14</v>
      </c>
      <c r="B5" s="10">
        <f>VLOOKUP(A5,Tagesansicht!F4:I188,4,FALSE)</f>
        <v>0.61458333333333326</v>
      </c>
      <c r="C5" s="8">
        <f t="shared" si="0"/>
        <v>191.74999999999997</v>
      </c>
      <c r="F5" s="8">
        <f>AVERAGE(J3:J28)</f>
        <v>181</v>
      </c>
      <c r="I5" s="10">
        <f t="shared" si="1"/>
        <v>0.61458333333333326</v>
      </c>
      <c r="J5">
        <f t="shared" si="2"/>
        <v>191.74999999999997</v>
      </c>
    </row>
    <row r="6" spans="1:10" x14ac:dyDescent="0.3">
      <c r="A6" t="s">
        <v>15</v>
      </c>
      <c r="B6" s="10">
        <f>VLOOKUP(A6,Tagesansicht!F5:I189,4,FALSE)</f>
        <v>0.46875</v>
      </c>
      <c r="C6" s="8">
        <f t="shared" si="0"/>
        <v>146.25</v>
      </c>
      <c r="F6" s="10">
        <f>AVERAGE(I3:I28)</f>
        <v>0.58012820512820518</v>
      </c>
      <c r="I6" s="10">
        <f t="shared" si="1"/>
        <v>0.46875</v>
      </c>
      <c r="J6">
        <f t="shared" si="2"/>
        <v>146.25</v>
      </c>
    </row>
    <row r="7" spans="1:10" x14ac:dyDescent="0.3">
      <c r="A7" t="s">
        <v>17</v>
      </c>
      <c r="B7" s="10">
        <f>VLOOKUP(A7,Tagesansicht!F6:I190,4,FALSE)</f>
        <v>0.63541666666666674</v>
      </c>
      <c r="C7" s="8">
        <f t="shared" si="0"/>
        <v>198.25000000000003</v>
      </c>
      <c r="F7" s="29"/>
      <c r="I7" s="10">
        <f t="shared" si="1"/>
        <v>0.63541666666666674</v>
      </c>
      <c r="J7">
        <f t="shared" si="2"/>
        <v>198.25000000000003</v>
      </c>
    </row>
    <row r="8" spans="1:10" x14ac:dyDescent="0.3">
      <c r="A8" t="s">
        <v>18</v>
      </c>
      <c r="B8" s="10">
        <f>VLOOKUP(A8,Tagesansicht!F7:I191,4,FALSE)</f>
        <v>0.60416666666666674</v>
      </c>
      <c r="C8" s="8">
        <f t="shared" si="0"/>
        <v>188.50000000000003</v>
      </c>
      <c r="E8" s="8"/>
      <c r="F8" s="29"/>
      <c r="I8" s="10">
        <f t="shared" si="1"/>
        <v>0.60416666666666674</v>
      </c>
      <c r="J8">
        <f t="shared" si="2"/>
        <v>188.50000000000003</v>
      </c>
    </row>
    <row r="9" spans="1:10" x14ac:dyDescent="0.3">
      <c r="A9" t="s">
        <v>19</v>
      </c>
      <c r="B9" s="10">
        <f>VLOOKUP(A9,Tagesansicht!F8:I192,4,FALSE)</f>
        <v>0.70833333333333337</v>
      </c>
      <c r="C9" s="8">
        <f t="shared" si="0"/>
        <v>221</v>
      </c>
      <c r="F9" s="29"/>
      <c r="I9" s="10">
        <f t="shared" si="1"/>
        <v>0.70833333333333337</v>
      </c>
      <c r="J9">
        <f t="shared" si="2"/>
        <v>221</v>
      </c>
    </row>
    <row r="10" spans="1:10" x14ac:dyDescent="0.3">
      <c r="A10" t="s">
        <v>20</v>
      </c>
      <c r="B10" s="10">
        <f>VLOOKUP(A10,Tagesansicht!F9:I193,4,FALSE)</f>
        <v>0.60416666666666663</v>
      </c>
      <c r="C10" s="8">
        <f t="shared" si="0"/>
        <v>188.5</v>
      </c>
      <c r="F10" s="29"/>
      <c r="I10" s="10">
        <f t="shared" si="1"/>
        <v>0.60416666666666663</v>
      </c>
      <c r="J10">
        <f t="shared" si="2"/>
        <v>188.5</v>
      </c>
    </row>
    <row r="11" spans="1:10" x14ac:dyDescent="0.3">
      <c r="A11" t="s">
        <v>21</v>
      </c>
      <c r="B11" s="10">
        <f>VLOOKUP(A11,Tagesansicht!F10:I194,4,FALSE)</f>
        <v>0.25</v>
      </c>
      <c r="C11" s="8">
        <f t="shared" si="0"/>
        <v>78</v>
      </c>
      <c r="F11" s="29"/>
      <c r="I11" s="10">
        <f t="shared" si="1"/>
        <v>0.25</v>
      </c>
      <c r="J11">
        <f t="shared" si="2"/>
        <v>78</v>
      </c>
    </row>
    <row r="12" spans="1:10" x14ac:dyDescent="0.3">
      <c r="A12" t="s">
        <v>22</v>
      </c>
      <c r="B12" s="10">
        <f>VLOOKUP(A12,Tagesansicht!F11:I195,4,FALSE)</f>
        <v>0.52083333333333348</v>
      </c>
      <c r="C12" s="8">
        <f t="shared" si="0"/>
        <v>162.50000000000006</v>
      </c>
      <c r="F12" s="29"/>
      <c r="I12" s="10">
        <f t="shared" si="1"/>
        <v>0.52083333333333348</v>
      </c>
      <c r="J12">
        <f t="shared" si="2"/>
        <v>162.50000000000006</v>
      </c>
    </row>
    <row r="13" spans="1:10" x14ac:dyDescent="0.3">
      <c r="A13" t="s">
        <v>23</v>
      </c>
      <c r="B13" s="10">
        <f>VLOOKUP(A13,Tagesansicht!F12:I196,4,FALSE)</f>
        <v>0.27083333333333331</v>
      </c>
      <c r="C13" s="8">
        <f t="shared" si="0"/>
        <v>84.5</v>
      </c>
      <c r="F13" s="29"/>
      <c r="I13" s="10">
        <f t="shared" si="1"/>
        <v>0.27083333333333331</v>
      </c>
      <c r="J13">
        <f t="shared" si="2"/>
        <v>84.5</v>
      </c>
    </row>
    <row r="14" spans="1:10" x14ac:dyDescent="0.3">
      <c r="A14" t="s">
        <v>24</v>
      </c>
      <c r="B14" s="10">
        <f>VLOOKUP(A14,Tagesansicht!F13:I197,4,FALSE)</f>
        <v>0.38541666666666663</v>
      </c>
      <c r="C14" s="8">
        <f t="shared" si="0"/>
        <v>120.24999999999999</v>
      </c>
      <c r="F14" s="29"/>
      <c r="I14" s="10">
        <f t="shared" si="1"/>
        <v>0.38541666666666663</v>
      </c>
      <c r="J14">
        <f t="shared" si="2"/>
        <v>120.24999999999999</v>
      </c>
    </row>
    <row r="15" spans="1:10" x14ac:dyDescent="0.3">
      <c r="A15" t="s">
        <v>25</v>
      </c>
      <c r="B15" s="10">
        <f>VLOOKUP(A15,Tagesansicht!F14:I198,4,FALSE)</f>
        <v>0.45833333333333343</v>
      </c>
      <c r="C15" s="8">
        <f t="shared" si="0"/>
        <v>143.00000000000003</v>
      </c>
      <c r="F15" s="29"/>
      <c r="I15" s="10">
        <f t="shared" si="1"/>
        <v>0.45833333333333343</v>
      </c>
      <c r="J15">
        <f t="shared" si="2"/>
        <v>143.00000000000003</v>
      </c>
    </row>
    <row r="16" spans="1:10" x14ac:dyDescent="0.3">
      <c r="A16" t="s">
        <v>26</v>
      </c>
      <c r="B16" s="10">
        <f>VLOOKUP(A16,Tagesansicht!F15:I199,4,FALSE)</f>
        <v>0.51041666666666674</v>
      </c>
      <c r="C16" s="8">
        <f t="shared" si="0"/>
        <v>159.25000000000003</v>
      </c>
      <c r="F16" s="29"/>
      <c r="I16" s="10">
        <f t="shared" si="1"/>
        <v>0.51041666666666674</v>
      </c>
      <c r="J16">
        <f t="shared" si="2"/>
        <v>159.25000000000003</v>
      </c>
    </row>
    <row r="17" spans="1:10" x14ac:dyDescent="0.3">
      <c r="A17" t="s">
        <v>27</v>
      </c>
      <c r="B17" s="10">
        <f>VLOOKUP(A17,Tagesansicht!F16:I200,4,FALSE)</f>
        <v>0.47916666666666669</v>
      </c>
      <c r="C17" s="8">
        <f t="shared" si="0"/>
        <v>149.5</v>
      </c>
      <c r="F17" s="29"/>
      <c r="I17" s="10">
        <f t="shared" si="1"/>
        <v>0.47916666666666669</v>
      </c>
      <c r="J17">
        <f t="shared" si="2"/>
        <v>149.5</v>
      </c>
    </row>
    <row r="18" spans="1:10" x14ac:dyDescent="0.3">
      <c r="A18" t="s">
        <v>28</v>
      </c>
      <c r="B18" s="10">
        <f>VLOOKUP(A18,Tagesansicht!F17:I201,4,FALSE)</f>
        <v>0.54166666666666663</v>
      </c>
      <c r="C18" s="8">
        <f t="shared" si="0"/>
        <v>169</v>
      </c>
      <c r="F18" s="29"/>
      <c r="I18" s="10">
        <f t="shared" si="1"/>
        <v>0.54166666666666663</v>
      </c>
      <c r="J18">
        <f t="shared" si="2"/>
        <v>169</v>
      </c>
    </row>
    <row r="19" spans="1:10" x14ac:dyDescent="0.3">
      <c r="A19" t="s">
        <v>29</v>
      </c>
      <c r="B19" s="10">
        <f>VLOOKUP(A19,Tagesansicht!F18:I202,4,FALSE)</f>
        <v>0.6875</v>
      </c>
      <c r="C19" s="8">
        <f t="shared" si="0"/>
        <v>214.5</v>
      </c>
      <c r="F19" s="29"/>
      <c r="I19" s="10">
        <f t="shared" si="1"/>
        <v>0.6875</v>
      </c>
      <c r="J19">
        <f t="shared" si="2"/>
        <v>214.5</v>
      </c>
    </row>
    <row r="20" spans="1:10" x14ac:dyDescent="0.3">
      <c r="A20" t="s">
        <v>30</v>
      </c>
      <c r="B20" s="10">
        <f>VLOOKUP(A20,Tagesansicht!F19:I203,4,FALSE)</f>
        <v>0.45833333333333348</v>
      </c>
      <c r="C20" s="8">
        <f t="shared" si="0"/>
        <v>143.00000000000006</v>
      </c>
      <c r="I20" s="10">
        <f t="shared" si="1"/>
        <v>0.45833333333333348</v>
      </c>
      <c r="J20">
        <f t="shared" si="2"/>
        <v>143.00000000000006</v>
      </c>
    </row>
    <row r="21" spans="1:10" x14ac:dyDescent="0.3">
      <c r="A21" t="s">
        <v>31</v>
      </c>
      <c r="B21" s="10">
        <f>VLOOKUP(A21,Tagesansicht!F20:I204,4,FALSE)</f>
        <v>0.46875</v>
      </c>
      <c r="C21" s="8">
        <f t="shared" si="0"/>
        <v>146.25</v>
      </c>
      <c r="I21" s="10">
        <f t="shared" si="1"/>
        <v>0.46875</v>
      </c>
      <c r="J21">
        <f t="shared" si="2"/>
        <v>146.25</v>
      </c>
    </row>
    <row r="22" spans="1:10" x14ac:dyDescent="0.3">
      <c r="A22" t="s">
        <v>32</v>
      </c>
      <c r="B22" s="10">
        <f>VLOOKUP(A22,Tagesansicht!F21:I205,4,FALSE)</f>
        <v>0.31250000000000006</v>
      </c>
      <c r="C22" s="8">
        <f t="shared" si="0"/>
        <v>97.500000000000028</v>
      </c>
      <c r="I22" s="10">
        <f t="shared" si="1"/>
        <v>0.31250000000000006</v>
      </c>
      <c r="J22">
        <f t="shared" si="2"/>
        <v>97.500000000000028</v>
      </c>
    </row>
    <row r="23" spans="1:10" x14ac:dyDescent="0.3">
      <c r="A23" t="s">
        <v>33</v>
      </c>
      <c r="B23" s="10">
        <f>VLOOKUP(A23,Tagesansicht!F22:I206,4,FALSE)</f>
        <v>0.39583333333333331</v>
      </c>
      <c r="C23" s="8">
        <f t="shared" si="0"/>
        <v>123.5</v>
      </c>
      <c r="I23" s="10">
        <f t="shared" si="1"/>
        <v>0.39583333333333331</v>
      </c>
      <c r="J23">
        <f t="shared" si="2"/>
        <v>123.5</v>
      </c>
    </row>
    <row r="24" spans="1:10" x14ac:dyDescent="0.3">
      <c r="A24" t="s">
        <v>34</v>
      </c>
      <c r="B24" s="10">
        <f>VLOOKUP(A24,Tagesansicht!F23:I207,4,FALSE)</f>
        <v>1.09375</v>
      </c>
      <c r="C24" s="8">
        <f>B24*$F$2*24</f>
        <v>341.25</v>
      </c>
      <c r="I24" s="10">
        <f t="shared" si="1"/>
        <v>1.09375</v>
      </c>
      <c r="J24">
        <f t="shared" si="2"/>
        <v>341.25</v>
      </c>
    </row>
    <row r="25" spans="1:10" x14ac:dyDescent="0.3">
      <c r="A25" t="s">
        <v>35</v>
      </c>
      <c r="B25" s="10">
        <f>VLOOKUP(A25,Tagesansicht!F24:I208,4,FALSE)</f>
        <v>0.89583333333333348</v>
      </c>
      <c r="C25" s="8">
        <f t="shared" si="0"/>
        <v>279.50000000000006</v>
      </c>
      <c r="I25" s="10">
        <f t="shared" si="1"/>
        <v>0.89583333333333348</v>
      </c>
      <c r="J25">
        <f t="shared" si="2"/>
        <v>279.50000000000006</v>
      </c>
    </row>
    <row r="26" spans="1:10" x14ac:dyDescent="0.3">
      <c r="A26" t="s">
        <v>36</v>
      </c>
      <c r="B26" s="10">
        <f>VLOOKUP(A26,Tagesansicht!F25:I209,4,FALSE)</f>
        <v>1.0833333333333335</v>
      </c>
      <c r="C26" s="8">
        <f t="shared" si="0"/>
        <v>338.00000000000006</v>
      </c>
      <c r="I26" s="10">
        <f t="shared" si="1"/>
        <v>1.0833333333333335</v>
      </c>
      <c r="J26">
        <f t="shared" si="2"/>
        <v>338.00000000000006</v>
      </c>
    </row>
    <row r="27" spans="1:10" x14ac:dyDescent="0.3">
      <c r="A27" t="s">
        <v>37</v>
      </c>
      <c r="B27" s="10">
        <f>VLOOKUP(A27,Tagesansicht!F26:I210,4,FALSE)</f>
        <v>0.67708333333333348</v>
      </c>
      <c r="C27" s="8">
        <f t="shared" si="0"/>
        <v>211.25000000000006</v>
      </c>
      <c r="I27" s="10">
        <f t="shared" si="1"/>
        <v>0.67708333333333348</v>
      </c>
      <c r="J27">
        <f t="shared" si="2"/>
        <v>211.25000000000006</v>
      </c>
    </row>
    <row r="28" spans="1:10" x14ac:dyDescent="0.3">
      <c r="A28" t="s">
        <v>38</v>
      </c>
      <c r="B28" s="10">
        <f>VLOOKUP(A28,Tagesansicht!F27:I211,4,FALSE)</f>
        <v>0.24999999999999997</v>
      </c>
      <c r="C28" s="8">
        <f t="shared" si="0"/>
        <v>77.999999999999986</v>
      </c>
      <c r="I28" s="10">
        <f t="shared" si="1"/>
        <v>0.24999999999999997</v>
      </c>
      <c r="J28">
        <f t="shared" si="2"/>
        <v>77.999999999999986</v>
      </c>
    </row>
    <row r="29" spans="1:10" x14ac:dyDescent="0.3">
      <c r="B29" s="3"/>
    </row>
    <row r="30" spans="1:10" x14ac:dyDescent="0.3">
      <c r="B30" s="3"/>
    </row>
    <row r="31" spans="1:10" x14ac:dyDescent="0.3">
      <c r="B31" s="3"/>
    </row>
    <row r="32" spans="1:10" x14ac:dyDescent="0.3">
      <c r="B32" s="3"/>
    </row>
    <row r="33" spans="2:2" x14ac:dyDescent="0.3">
      <c r="B33" s="3"/>
    </row>
    <row r="34" spans="2:2" x14ac:dyDescent="0.3">
      <c r="B34" s="3"/>
    </row>
    <row r="35" spans="2:2" x14ac:dyDescent="0.3">
      <c r="B35" s="3"/>
    </row>
    <row r="36" spans="2:2" x14ac:dyDescent="0.3">
      <c r="B36" s="3"/>
    </row>
    <row r="37" spans="2:2" x14ac:dyDescent="0.3">
      <c r="B37" s="3"/>
    </row>
    <row r="38" spans="2:2" x14ac:dyDescent="0.3">
      <c r="B38" s="3"/>
    </row>
    <row r="39" spans="2:2" x14ac:dyDescent="0.3">
      <c r="B39" s="3"/>
    </row>
    <row r="40" spans="2:2" x14ac:dyDescent="0.3">
      <c r="B40" s="3"/>
    </row>
    <row r="41" spans="2:2" x14ac:dyDescent="0.3">
      <c r="B41" s="3"/>
    </row>
    <row r="42" spans="2:2" x14ac:dyDescent="0.3">
      <c r="B42" s="3"/>
    </row>
    <row r="43" spans="2:2" x14ac:dyDescent="0.3">
      <c r="B43" s="3"/>
    </row>
    <row r="44" spans="2:2" x14ac:dyDescent="0.3">
      <c r="B44" s="3"/>
    </row>
    <row r="45" spans="2:2" x14ac:dyDescent="0.3">
      <c r="B45" s="3"/>
    </row>
    <row r="46" spans="2:2" x14ac:dyDescent="0.3">
      <c r="B46" s="3"/>
    </row>
    <row r="47" spans="2:2" x14ac:dyDescent="0.3">
      <c r="B47" s="3"/>
    </row>
    <row r="48" spans="2:2" x14ac:dyDescent="0.3">
      <c r="B48" s="3"/>
    </row>
    <row r="49" spans="2:2" x14ac:dyDescent="0.3">
      <c r="B49" s="3"/>
    </row>
    <row r="50" spans="2:2" x14ac:dyDescent="0.3">
      <c r="B50" s="3"/>
    </row>
    <row r="51" spans="2:2" x14ac:dyDescent="0.3">
      <c r="B51" s="3"/>
    </row>
    <row r="52" spans="2:2" x14ac:dyDescent="0.3">
      <c r="B52" s="3"/>
    </row>
    <row r="53" spans="2:2" x14ac:dyDescent="0.3">
      <c r="B53" s="3"/>
    </row>
    <row r="54" spans="2:2" x14ac:dyDescent="0.3">
      <c r="B54" s="3"/>
    </row>
    <row r="55" spans="2:2" x14ac:dyDescent="0.3">
      <c r="B55" s="3"/>
    </row>
    <row r="56" spans="2:2" x14ac:dyDescent="0.3">
      <c r="B56" s="3"/>
    </row>
    <row r="57" spans="2:2" x14ac:dyDescent="0.3">
      <c r="B57" s="3"/>
    </row>
    <row r="58" spans="2:2" x14ac:dyDescent="0.3">
      <c r="B58" s="3"/>
    </row>
    <row r="59" spans="2:2" x14ac:dyDescent="0.3">
      <c r="B59" s="3"/>
    </row>
    <row r="60" spans="2:2" x14ac:dyDescent="0.3">
      <c r="B60" s="3"/>
    </row>
    <row r="61" spans="2:2" x14ac:dyDescent="0.3">
      <c r="B61" s="3"/>
    </row>
    <row r="62" spans="2:2" x14ac:dyDescent="0.3">
      <c r="B62" s="3"/>
    </row>
    <row r="63" spans="2:2" x14ac:dyDescent="0.3">
      <c r="B63" s="3"/>
    </row>
    <row r="64" spans="2:2" x14ac:dyDescent="0.3">
      <c r="B64" s="3"/>
    </row>
    <row r="65" spans="2:2" x14ac:dyDescent="0.3">
      <c r="B65" s="3"/>
    </row>
    <row r="66" spans="2:2" x14ac:dyDescent="0.3">
      <c r="B66" s="3"/>
    </row>
  </sheetData>
  <phoneticPr fontId="2" type="noConversion"/>
  <conditionalFormatting sqref="D2">
    <cfRule type="dataBar" priority="1">
      <dataBar>
        <cfvo type="num" val="0"/>
        <cfvo type="num" val="260"/>
        <color rgb="FF638EC6"/>
      </dataBar>
      <extLst>
        <ext xmlns:x14="http://schemas.microsoft.com/office/spreadsheetml/2009/9/main" uri="{B025F937-C7B1-47D3-B67F-A62EFF666E3E}">
          <x14:id>{53CECE11-B01F-4482-85D3-680BCAF54ACC}</x14:id>
        </ext>
      </extLst>
    </cfRule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{2EDD375D-077F-4339-809C-D33BEEEB9105}</x14:id>
        </ext>
      </extLst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3CECE11-B01F-4482-85D3-680BCAF54ACC}">
            <x14:dataBar minLength="0" maxLength="100" gradient="0">
              <x14:cfvo type="num">
                <xm:f>0</xm:f>
              </x14:cfvo>
              <x14:cfvo type="num">
                <xm:f>260</xm:f>
              </x14:cfvo>
              <x14:negativeFillColor rgb="FFFF0000"/>
              <x14:axisColor rgb="FF000000"/>
            </x14:dataBar>
          </x14:cfRule>
          <x14:cfRule type="dataBar" id="{2EDD375D-077F-4339-809C-D33BEEEB91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F0EC5-D247-4961-8BEF-48C61150555F}">
  <sheetPr codeName="Tabelle3"/>
  <dimension ref="A1:J9"/>
  <sheetViews>
    <sheetView workbookViewId="0">
      <selection activeCell="B18" sqref="B18"/>
    </sheetView>
  </sheetViews>
  <sheetFormatPr baseColWidth="10" defaultRowHeight="14.4" x14ac:dyDescent="0.3"/>
  <cols>
    <col min="3" max="3" width="14.6640625" bestFit="1" customWidth="1"/>
    <col min="6" max="6" width="21.33203125" bestFit="1" customWidth="1"/>
  </cols>
  <sheetData>
    <row r="1" spans="1:10" x14ac:dyDescent="0.3">
      <c r="A1" s="2" t="s">
        <v>39</v>
      </c>
      <c r="B1" s="2" t="s">
        <v>46</v>
      </c>
      <c r="C1" s="2" t="s">
        <v>57</v>
      </c>
      <c r="D1" s="2" t="s">
        <v>58</v>
      </c>
      <c r="F1" s="2" t="s">
        <v>54</v>
      </c>
      <c r="G1">
        <v>4.3499999999999996</v>
      </c>
      <c r="I1" s="2" t="s">
        <v>59</v>
      </c>
      <c r="J1" s="9">
        <v>5400</v>
      </c>
    </row>
    <row r="2" spans="1:10" x14ac:dyDescent="0.3">
      <c r="A2" t="s">
        <v>40</v>
      </c>
      <c r="B2">
        <v>71.25</v>
      </c>
      <c r="C2" s="16">
        <f>B2*Wochenansicht!$F$2</f>
        <v>926.25</v>
      </c>
      <c r="D2" s="16">
        <v>849</v>
      </c>
      <c r="F2" s="2" t="s">
        <v>53</v>
      </c>
      <c r="G2">
        <v>21</v>
      </c>
    </row>
    <row r="3" spans="1:10" x14ac:dyDescent="0.3">
      <c r="A3" t="s">
        <v>41</v>
      </c>
      <c r="B3">
        <v>64.25</v>
      </c>
      <c r="C3" s="16">
        <f>B3*Wochenansicht!$F$2</f>
        <v>835.25</v>
      </c>
      <c r="D3" s="16">
        <v>776</v>
      </c>
    </row>
    <row r="4" spans="1:10" x14ac:dyDescent="0.3">
      <c r="A4" t="s">
        <v>42</v>
      </c>
      <c r="B4">
        <v>42.250000000000007</v>
      </c>
      <c r="C4" s="16">
        <f>B4*Wochenansicht!$F$2</f>
        <v>549.25000000000011</v>
      </c>
      <c r="D4" s="16">
        <v>78</v>
      </c>
    </row>
    <row r="5" spans="1:10" x14ac:dyDescent="0.3">
      <c r="A5" t="s">
        <v>43</v>
      </c>
      <c r="B5">
        <v>53.25</v>
      </c>
      <c r="C5" s="16">
        <f>B5*Wochenansicht!$F$2</f>
        <v>692.25</v>
      </c>
      <c r="D5" s="16">
        <v>1576</v>
      </c>
    </row>
    <row r="6" spans="1:10" x14ac:dyDescent="0.3">
      <c r="A6" t="s">
        <v>44</v>
      </c>
      <c r="B6">
        <v>46.750000000000007</v>
      </c>
      <c r="C6" s="16">
        <f>B6*Wochenansicht!$F$2</f>
        <v>607.75000000000011</v>
      </c>
      <c r="D6" s="49">
        <v>792</v>
      </c>
      <c r="F6" t="s">
        <v>116</v>
      </c>
      <c r="G6" t="s">
        <v>117</v>
      </c>
    </row>
    <row r="7" spans="1:10" x14ac:dyDescent="0.3">
      <c r="A7" t="s">
        <v>45</v>
      </c>
      <c r="B7">
        <v>102.00000000000001</v>
      </c>
      <c r="C7" s="16">
        <f>B7*Wochenansicht!$F$2</f>
        <v>1326.0000000000002</v>
      </c>
      <c r="D7" s="16"/>
      <c r="E7" s="16">
        <f>J1-SUM(D2:D6)</f>
        <v>1329</v>
      </c>
      <c r="F7" s="31">
        <f>E7/13</f>
        <v>102.23076923076923</v>
      </c>
      <c r="G7">
        <f>F7/G1</f>
        <v>23.50132625994695</v>
      </c>
    </row>
    <row r="9" spans="1:10" x14ac:dyDescent="0.3">
      <c r="A9" s="5" t="s">
        <v>56</v>
      </c>
      <c r="B9" s="5">
        <f>SUM(B2:B7)</f>
        <v>379.75</v>
      </c>
      <c r="C9" s="30">
        <f>SUM(C2:C7)</f>
        <v>4936.75</v>
      </c>
      <c r="D9" s="30">
        <f>SUM(D2:D7)</f>
        <v>4071</v>
      </c>
    </row>
  </sheetData>
  <phoneticPr fontId="2" type="noConversion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sumHoursOfMonth">
                <anchor moveWithCells="1" sizeWithCells="1">
                  <from>
                    <xdr:col>5</xdr:col>
                    <xdr:colOff>60960</xdr:colOff>
                    <xdr:row>3</xdr:row>
                    <xdr:rowOff>22860</xdr:rowOff>
                  </from>
                  <to>
                    <xdr:col>5</xdr:col>
                    <xdr:colOff>1295400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32986-9E56-4310-A1F6-30B81EF04706}">
  <sheetPr codeName="Tabelle4"/>
  <dimension ref="A1:R367"/>
  <sheetViews>
    <sheetView tabSelected="1" workbookViewId="0">
      <selection activeCell="D3" sqref="D3"/>
    </sheetView>
  </sheetViews>
  <sheetFormatPr baseColWidth="10" defaultRowHeight="14.4" x14ac:dyDescent="0.3"/>
  <cols>
    <col min="1" max="1" width="4" style="20" bestFit="1" customWidth="1"/>
    <col min="7" max="7" width="12.6640625" bestFit="1" customWidth="1"/>
  </cols>
  <sheetData>
    <row r="1" spans="1:18" x14ac:dyDescent="0.3">
      <c r="A1" s="37" t="s">
        <v>52</v>
      </c>
      <c r="B1" s="37" t="s">
        <v>11</v>
      </c>
      <c r="C1" s="37" t="s">
        <v>10</v>
      </c>
      <c r="D1" s="37" t="s">
        <v>8</v>
      </c>
      <c r="E1" s="37" t="s">
        <v>9</v>
      </c>
      <c r="F1" s="37" t="s">
        <v>60</v>
      </c>
      <c r="G1" s="40" t="s">
        <v>61</v>
      </c>
      <c r="H1" s="29"/>
      <c r="I1" s="29"/>
      <c r="J1" s="29"/>
      <c r="K1" s="29"/>
      <c r="L1" s="29"/>
      <c r="M1" s="29"/>
      <c r="N1" s="48"/>
      <c r="O1" s="29"/>
      <c r="P1" s="29"/>
      <c r="Q1" s="29"/>
      <c r="R1" s="29"/>
    </row>
    <row r="2" spans="1:18" s="20" customFormat="1" x14ac:dyDescent="0.3">
      <c r="A2" s="57">
        <f>WEEKNUM(B2,21)</f>
        <v>52</v>
      </c>
      <c r="B2" s="32">
        <v>44562</v>
      </c>
      <c r="C2" s="33" t="str">
        <f>IF(WEEKDAY(B2,2)=1,"Montag",IF(WEEKDAY(B2,2)=2,"Dienstag",IF(WEEKDAY(B2,2)=3,"Mittwoch",IF(WEEKDAY(B2,2)=4,"Donnerstag",IF(WEEKDAY(B2,2)=5,"Freitag",IF(WEEKDAY(B2,2)=6,"Samstag",IF(WEEKDAY(B2,2)=7,"Sonntag","")))))))</f>
        <v>Samstag</v>
      </c>
      <c r="D2" s="21">
        <v>0.33333333333333331</v>
      </c>
      <c r="E2" s="21">
        <v>0.625</v>
      </c>
      <c r="F2" s="39">
        <f t="shared" ref="F2:F66" si="0">IF(D2="","",E2-D2)</f>
        <v>0.29166666666666669</v>
      </c>
      <c r="G2" s="46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</row>
    <row r="3" spans="1:18" s="36" customFormat="1" x14ac:dyDescent="0.3">
      <c r="A3" s="58"/>
      <c r="B3" s="34">
        <v>44563</v>
      </c>
      <c r="C3" s="35" t="str">
        <f t="shared" ref="C3:C66" si="1">IF(WEEKDAY(B3,2)=1,"Montag",IF(WEEKDAY(B3,2)=2,"Dienstag",IF(WEEKDAY(B3,2)=3,"Mittwoch",IF(WEEKDAY(B3,2)=4,"Donnerstag",IF(WEEKDAY(B3,2)=5,"Freitag",IF(WEEKDAY(B3,2)=6,"Samstag",IF(WEEKDAY(B3,2)=7,"Sonntag","")))))))</f>
        <v>Sonntag</v>
      </c>
      <c r="F3" s="41" t="str">
        <f t="shared" si="0"/>
        <v/>
      </c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</row>
    <row r="4" spans="1:18" s="20" customFormat="1" x14ac:dyDescent="0.3">
      <c r="A4" s="60">
        <v>1</v>
      </c>
      <c r="B4" s="32">
        <v>44564</v>
      </c>
      <c r="C4" s="33" t="str">
        <f t="shared" si="1"/>
        <v>Montag</v>
      </c>
      <c r="D4" s="47"/>
      <c r="E4" s="47" t="s">
        <v>115</v>
      </c>
      <c r="F4" s="39">
        <f>SUM(F2:F3)</f>
        <v>0.29166666666666669</v>
      </c>
      <c r="G4" s="46">
        <f>SUM(G2:G3)</f>
        <v>0</v>
      </c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</row>
    <row r="5" spans="1:18" s="20" customFormat="1" x14ac:dyDescent="0.3">
      <c r="A5" s="61"/>
      <c r="B5" s="32">
        <v>44565</v>
      </c>
      <c r="C5" s="33" t="str">
        <f t="shared" si="1"/>
        <v>Dienstag</v>
      </c>
      <c r="D5" s="47"/>
      <c r="E5" s="47"/>
      <c r="F5" s="39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</row>
    <row r="6" spans="1:18" s="20" customFormat="1" x14ac:dyDescent="0.3">
      <c r="A6" s="61"/>
      <c r="B6" s="32">
        <v>44566</v>
      </c>
      <c r="C6" s="33" t="str">
        <f t="shared" si="1"/>
        <v>Mittwoch</v>
      </c>
      <c r="D6" s="47"/>
      <c r="E6" s="47"/>
      <c r="F6" s="39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</row>
    <row r="7" spans="1:18" s="20" customFormat="1" x14ac:dyDescent="0.3">
      <c r="A7" s="61"/>
      <c r="B7" s="32">
        <v>44567</v>
      </c>
      <c r="C7" s="33" t="str">
        <f t="shared" si="1"/>
        <v>Donnerstag</v>
      </c>
      <c r="F7" s="39" t="str">
        <f t="shared" si="0"/>
        <v/>
      </c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</row>
    <row r="8" spans="1:18" s="20" customFormat="1" x14ac:dyDescent="0.3">
      <c r="A8" s="61"/>
      <c r="B8" s="32">
        <v>44568</v>
      </c>
      <c r="C8" s="33" t="str">
        <f t="shared" si="1"/>
        <v>Freitag</v>
      </c>
      <c r="F8" s="39" t="str">
        <f t="shared" si="0"/>
        <v/>
      </c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</row>
    <row r="9" spans="1:18" s="44" customFormat="1" x14ac:dyDescent="0.3">
      <c r="A9" s="61"/>
      <c r="B9" s="42">
        <v>44569</v>
      </c>
      <c r="C9" s="43" t="str">
        <f t="shared" si="1"/>
        <v>Samstag</v>
      </c>
      <c r="E9" s="44" t="s">
        <v>62</v>
      </c>
      <c r="F9" s="45">
        <f>SUM(F4:F8)</f>
        <v>0.29166666666666669</v>
      </c>
      <c r="G9" s="44">
        <f>SUM(G4:G8)</f>
        <v>0</v>
      </c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</row>
    <row r="10" spans="1:18" s="36" customFormat="1" x14ac:dyDescent="0.3">
      <c r="A10" s="62"/>
      <c r="B10" s="34">
        <v>44570</v>
      </c>
      <c r="C10" s="35" t="str">
        <f t="shared" si="1"/>
        <v>Sonntag</v>
      </c>
      <c r="F10" s="41" t="str">
        <f t="shared" si="0"/>
        <v/>
      </c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</row>
    <row r="11" spans="1:18" s="20" customFormat="1" x14ac:dyDescent="0.3">
      <c r="A11" s="56">
        <f t="shared" ref="A11:A60" si="2">WEEKNUM(B11,21)</f>
        <v>2</v>
      </c>
      <c r="B11" s="32">
        <v>44571</v>
      </c>
      <c r="C11" s="33" t="str">
        <f t="shared" si="1"/>
        <v>Montag</v>
      </c>
      <c r="F11" s="39" t="str">
        <f t="shared" si="0"/>
        <v/>
      </c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</row>
    <row r="12" spans="1:18" s="20" customFormat="1" x14ac:dyDescent="0.3">
      <c r="A12" s="57"/>
      <c r="B12" s="32">
        <v>44572</v>
      </c>
      <c r="C12" s="33" t="str">
        <f t="shared" si="1"/>
        <v>Dienstag</v>
      </c>
      <c r="F12" s="39" t="str">
        <f t="shared" si="0"/>
        <v/>
      </c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</row>
    <row r="13" spans="1:18" s="20" customFormat="1" x14ac:dyDescent="0.3">
      <c r="A13" s="57"/>
      <c r="B13" s="32">
        <v>44573</v>
      </c>
      <c r="C13" s="33" t="str">
        <f t="shared" si="1"/>
        <v>Mittwoch</v>
      </c>
      <c r="F13" s="39" t="str">
        <f t="shared" si="0"/>
        <v/>
      </c>
    </row>
    <row r="14" spans="1:18" s="20" customFormat="1" x14ac:dyDescent="0.3">
      <c r="A14" s="57"/>
      <c r="B14" s="32">
        <v>44574</v>
      </c>
      <c r="C14" s="33" t="str">
        <f t="shared" si="1"/>
        <v>Donnerstag</v>
      </c>
      <c r="F14" s="39" t="str">
        <f t="shared" si="0"/>
        <v/>
      </c>
    </row>
    <row r="15" spans="1:18" s="20" customFormat="1" x14ac:dyDescent="0.3">
      <c r="A15" s="57"/>
      <c r="B15" s="32">
        <v>44575</v>
      </c>
      <c r="C15" s="33" t="str">
        <f t="shared" si="1"/>
        <v>Freitag</v>
      </c>
      <c r="D15" s="28"/>
      <c r="F15" s="39" t="str">
        <f t="shared" si="0"/>
        <v/>
      </c>
    </row>
    <row r="16" spans="1:18" s="44" customFormat="1" x14ac:dyDescent="0.3">
      <c r="A16" s="57"/>
      <c r="B16" s="42">
        <v>44576</v>
      </c>
      <c r="C16" s="43" t="str">
        <f t="shared" si="1"/>
        <v>Samstag</v>
      </c>
      <c r="E16" s="44" t="s">
        <v>63</v>
      </c>
      <c r="F16" s="45">
        <f>SUM(F11:F15)</f>
        <v>0</v>
      </c>
      <c r="G16" s="44">
        <f>SUM(G11:G15)</f>
        <v>0</v>
      </c>
    </row>
    <row r="17" spans="1:7" s="36" customFormat="1" x14ac:dyDescent="0.3">
      <c r="A17" s="58"/>
      <c r="B17" s="34">
        <v>44577</v>
      </c>
      <c r="C17" s="35" t="str">
        <f t="shared" si="1"/>
        <v>Sonntag</v>
      </c>
      <c r="F17" s="41" t="str">
        <f t="shared" si="0"/>
        <v/>
      </c>
    </row>
    <row r="18" spans="1:7" s="20" customFormat="1" x14ac:dyDescent="0.3">
      <c r="A18" s="63">
        <f t="shared" si="2"/>
        <v>3</v>
      </c>
      <c r="B18" s="32">
        <v>44578</v>
      </c>
      <c r="C18" s="38" t="str">
        <f t="shared" si="1"/>
        <v>Montag</v>
      </c>
      <c r="F18" s="39" t="str">
        <f t="shared" si="0"/>
        <v/>
      </c>
    </row>
    <row r="19" spans="1:7" s="20" customFormat="1" x14ac:dyDescent="0.3">
      <c r="A19" s="59"/>
      <c r="B19" s="32">
        <v>44579</v>
      </c>
      <c r="C19" s="33" t="str">
        <f t="shared" si="1"/>
        <v>Dienstag</v>
      </c>
      <c r="F19" s="39" t="str">
        <f t="shared" si="0"/>
        <v/>
      </c>
    </row>
    <row r="20" spans="1:7" s="20" customFormat="1" x14ac:dyDescent="0.3">
      <c r="A20" s="59"/>
      <c r="B20" s="32">
        <v>44580</v>
      </c>
      <c r="C20" s="33" t="str">
        <f t="shared" si="1"/>
        <v>Mittwoch</v>
      </c>
      <c r="F20" s="39" t="str">
        <f t="shared" si="0"/>
        <v/>
      </c>
    </row>
    <row r="21" spans="1:7" s="20" customFormat="1" x14ac:dyDescent="0.3">
      <c r="A21" s="59"/>
      <c r="B21" s="32">
        <v>44581</v>
      </c>
      <c r="C21" s="33" t="str">
        <f t="shared" si="1"/>
        <v>Donnerstag</v>
      </c>
      <c r="F21" s="39" t="str">
        <f t="shared" si="0"/>
        <v/>
      </c>
    </row>
    <row r="22" spans="1:7" s="20" customFormat="1" x14ac:dyDescent="0.3">
      <c r="A22" s="59"/>
      <c r="B22" s="32">
        <v>44582</v>
      </c>
      <c r="C22" s="33" t="str">
        <f t="shared" si="1"/>
        <v>Freitag</v>
      </c>
      <c r="F22" s="39" t="str">
        <f t="shared" si="0"/>
        <v/>
      </c>
    </row>
    <row r="23" spans="1:7" s="44" customFormat="1" x14ac:dyDescent="0.3">
      <c r="A23" s="59"/>
      <c r="B23" s="42">
        <v>44583</v>
      </c>
      <c r="C23" s="43" t="str">
        <f t="shared" si="1"/>
        <v>Samstag</v>
      </c>
      <c r="E23" s="44" t="s">
        <v>64</v>
      </c>
      <c r="F23" s="45">
        <f>SUM(F18:F22)</f>
        <v>0</v>
      </c>
      <c r="G23" s="44">
        <f>SUM(G18:G22)</f>
        <v>0</v>
      </c>
    </row>
    <row r="24" spans="1:7" s="36" customFormat="1" x14ac:dyDescent="0.3">
      <c r="A24" s="59"/>
      <c r="B24" s="34">
        <v>44584</v>
      </c>
      <c r="C24" s="35" t="str">
        <f t="shared" si="1"/>
        <v>Sonntag</v>
      </c>
      <c r="F24" s="41" t="str">
        <f t="shared" si="0"/>
        <v/>
      </c>
    </row>
    <row r="25" spans="1:7" s="20" customFormat="1" x14ac:dyDescent="0.3">
      <c r="A25" s="56">
        <f t="shared" si="2"/>
        <v>4</v>
      </c>
      <c r="B25" s="32">
        <v>44585</v>
      </c>
      <c r="C25" s="33" t="str">
        <f t="shared" si="1"/>
        <v>Montag</v>
      </c>
      <c r="F25" s="39" t="str">
        <f t="shared" si="0"/>
        <v/>
      </c>
    </row>
    <row r="26" spans="1:7" s="20" customFormat="1" x14ac:dyDescent="0.3">
      <c r="A26" s="57"/>
      <c r="B26" s="32">
        <v>44586</v>
      </c>
      <c r="C26" s="33" t="str">
        <f t="shared" si="1"/>
        <v>Dienstag</v>
      </c>
      <c r="F26" s="39" t="str">
        <f t="shared" si="0"/>
        <v/>
      </c>
    </row>
    <row r="27" spans="1:7" s="20" customFormat="1" x14ac:dyDescent="0.3">
      <c r="A27" s="57"/>
      <c r="B27" s="32">
        <v>44587</v>
      </c>
      <c r="C27" s="33" t="str">
        <f t="shared" si="1"/>
        <v>Mittwoch</v>
      </c>
      <c r="F27" s="39" t="str">
        <f t="shared" si="0"/>
        <v/>
      </c>
    </row>
    <row r="28" spans="1:7" s="20" customFormat="1" x14ac:dyDescent="0.3">
      <c r="A28" s="57"/>
      <c r="B28" s="32">
        <v>44588</v>
      </c>
      <c r="C28" s="33" t="str">
        <f t="shared" si="1"/>
        <v>Donnerstag</v>
      </c>
      <c r="F28" s="39" t="str">
        <f t="shared" si="0"/>
        <v/>
      </c>
    </row>
    <row r="29" spans="1:7" s="20" customFormat="1" x14ac:dyDescent="0.3">
      <c r="A29" s="57"/>
      <c r="B29" s="32">
        <v>44589</v>
      </c>
      <c r="C29" s="33" t="str">
        <f t="shared" si="1"/>
        <v>Freitag</v>
      </c>
      <c r="F29" s="39" t="str">
        <f t="shared" si="0"/>
        <v/>
      </c>
    </row>
    <row r="30" spans="1:7" s="44" customFormat="1" x14ac:dyDescent="0.3">
      <c r="A30" s="57"/>
      <c r="B30" s="42">
        <v>44590</v>
      </c>
      <c r="C30" s="43" t="str">
        <f t="shared" si="1"/>
        <v>Samstag</v>
      </c>
      <c r="E30" s="44" t="s">
        <v>65</v>
      </c>
      <c r="F30" s="45">
        <f>SUM(F25:F29)</f>
        <v>0</v>
      </c>
      <c r="G30" s="44">
        <f>SUM(G25:G29)</f>
        <v>0</v>
      </c>
    </row>
    <row r="31" spans="1:7" s="36" customFormat="1" x14ac:dyDescent="0.3">
      <c r="A31" s="58"/>
      <c r="B31" s="34">
        <v>44591</v>
      </c>
      <c r="C31" s="35" t="str">
        <f t="shared" si="1"/>
        <v>Sonntag</v>
      </c>
      <c r="F31" s="41" t="str">
        <f t="shared" si="0"/>
        <v/>
      </c>
    </row>
    <row r="32" spans="1:7" s="20" customFormat="1" x14ac:dyDescent="0.3">
      <c r="A32" s="59">
        <f t="shared" si="2"/>
        <v>5</v>
      </c>
      <c r="B32" s="32">
        <v>44592</v>
      </c>
      <c r="C32" s="33" t="str">
        <f t="shared" si="1"/>
        <v>Montag</v>
      </c>
      <c r="F32" s="39" t="str">
        <f t="shared" si="0"/>
        <v/>
      </c>
    </row>
    <row r="33" spans="1:7" s="20" customFormat="1" x14ac:dyDescent="0.3">
      <c r="A33" s="59"/>
      <c r="B33" s="32">
        <v>44593</v>
      </c>
      <c r="C33" s="33" t="str">
        <f t="shared" si="1"/>
        <v>Dienstag</v>
      </c>
      <c r="F33" s="39" t="str">
        <f t="shared" si="0"/>
        <v/>
      </c>
    </row>
    <row r="34" spans="1:7" s="20" customFormat="1" x14ac:dyDescent="0.3">
      <c r="A34" s="59"/>
      <c r="B34" s="32">
        <v>44594</v>
      </c>
      <c r="C34" s="33" t="str">
        <f t="shared" si="1"/>
        <v>Mittwoch</v>
      </c>
      <c r="F34" s="39" t="str">
        <f t="shared" si="0"/>
        <v/>
      </c>
    </row>
    <row r="35" spans="1:7" s="20" customFormat="1" x14ac:dyDescent="0.3">
      <c r="A35" s="59"/>
      <c r="B35" s="32">
        <v>44595</v>
      </c>
      <c r="C35" s="33" t="str">
        <f t="shared" si="1"/>
        <v>Donnerstag</v>
      </c>
      <c r="F35" s="39" t="str">
        <f t="shared" si="0"/>
        <v/>
      </c>
    </row>
    <row r="36" spans="1:7" s="20" customFormat="1" x14ac:dyDescent="0.3">
      <c r="A36" s="59"/>
      <c r="B36" s="32">
        <v>44596</v>
      </c>
      <c r="C36" s="33" t="str">
        <f t="shared" si="1"/>
        <v>Freitag</v>
      </c>
      <c r="F36" s="39" t="str">
        <f t="shared" si="0"/>
        <v/>
      </c>
    </row>
    <row r="37" spans="1:7" s="44" customFormat="1" x14ac:dyDescent="0.3">
      <c r="A37" s="59"/>
      <c r="B37" s="42">
        <v>44597</v>
      </c>
      <c r="C37" s="43" t="str">
        <f t="shared" si="1"/>
        <v>Samstag</v>
      </c>
      <c r="E37" s="44" t="s">
        <v>66</v>
      </c>
      <c r="F37" s="45">
        <f>SUM(F32:F36)</f>
        <v>0</v>
      </c>
      <c r="G37" s="44">
        <f>SUM(G32:G36)</f>
        <v>0</v>
      </c>
    </row>
    <row r="38" spans="1:7" s="36" customFormat="1" x14ac:dyDescent="0.3">
      <c r="A38" s="59"/>
      <c r="B38" s="34">
        <v>44598</v>
      </c>
      <c r="C38" s="35" t="str">
        <f t="shared" si="1"/>
        <v>Sonntag</v>
      </c>
      <c r="F38" s="41" t="str">
        <f t="shared" si="0"/>
        <v/>
      </c>
    </row>
    <row r="39" spans="1:7" s="20" customFormat="1" x14ac:dyDescent="0.3">
      <c r="A39" s="56">
        <f t="shared" si="2"/>
        <v>6</v>
      </c>
      <c r="B39" s="32">
        <v>44599</v>
      </c>
      <c r="C39" s="33" t="str">
        <f t="shared" si="1"/>
        <v>Montag</v>
      </c>
      <c r="F39" s="39" t="str">
        <f t="shared" si="0"/>
        <v/>
      </c>
    </row>
    <row r="40" spans="1:7" s="20" customFormat="1" x14ac:dyDescent="0.3">
      <c r="A40" s="57"/>
      <c r="B40" s="32">
        <v>44600</v>
      </c>
      <c r="C40" s="33" t="str">
        <f t="shared" si="1"/>
        <v>Dienstag</v>
      </c>
      <c r="F40" s="39" t="str">
        <f t="shared" si="0"/>
        <v/>
      </c>
    </row>
    <row r="41" spans="1:7" s="20" customFormat="1" x14ac:dyDescent="0.3">
      <c r="A41" s="57"/>
      <c r="B41" s="32">
        <v>44601</v>
      </c>
      <c r="C41" s="33" t="str">
        <f t="shared" si="1"/>
        <v>Mittwoch</v>
      </c>
      <c r="F41" s="39" t="str">
        <f t="shared" si="0"/>
        <v/>
      </c>
    </row>
    <row r="42" spans="1:7" s="20" customFormat="1" x14ac:dyDescent="0.3">
      <c r="A42" s="57"/>
      <c r="B42" s="32">
        <v>44602</v>
      </c>
      <c r="C42" s="33" t="str">
        <f t="shared" si="1"/>
        <v>Donnerstag</v>
      </c>
      <c r="F42" s="39" t="str">
        <f t="shared" si="0"/>
        <v/>
      </c>
    </row>
    <row r="43" spans="1:7" s="20" customFormat="1" x14ac:dyDescent="0.3">
      <c r="A43" s="57"/>
      <c r="B43" s="32">
        <v>44603</v>
      </c>
      <c r="C43" s="33" t="str">
        <f t="shared" si="1"/>
        <v>Freitag</v>
      </c>
      <c r="F43" s="39" t="str">
        <f t="shared" si="0"/>
        <v/>
      </c>
    </row>
    <row r="44" spans="1:7" s="44" customFormat="1" x14ac:dyDescent="0.3">
      <c r="A44" s="57"/>
      <c r="B44" s="42">
        <v>44604</v>
      </c>
      <c r="C44" s="43" t="str">
        <f t="shared" si="1"/>
        <v>Samstag</v>
      </c>
      <c r="E44" s="44" t="s">
        <v>67</v>
      </c>
      <c r="F44" s="45">
        <f>SUM(F39:F43)</f>
        <v>0</v>
      </c>
      <c r="G44" s="44">
        <f>SUM(G39:G43)</f>
        <v>0</v>
      </c>
    </row>
    <row r="45" spans="1:7" s="36" customFormat="1" x14ac:dyDescent="0.3">
      <c r="A45" s="58"/>
      <c r="B45" s="34">
        <v>44605</v>
      </c>
      <c r="C45" s="35" t="str">
        <f t="shared" si="1"/>
        <v>Sonntag</v>
      </c>
      <c r="F45" s="41" t="str">
        <f t="shared" si="0"/>
        <v/>
      </c>
    </row>
    <row r="46" spans="1:7" s="20" customFormat="1" x14ac:dyDescent="0.3">
      <c r="A46" s="59">
        <f t="shared" si="2"/>
        <v>7</v>
      </c>
      <c r="B46" s="32">
        <v>44606</v>
      </c>
      <c r="C46" s="33" t="str">
        <f t="shared" si="1"/>
        <v>Montag</v>
      </c>
      <c r="F46" s="39" t="str">
        <f t="shared" si="0"/>
        <v/>
      </c>
    </row>
    <row r="47" spans="1:7" s="20" customFormat="1" x14ac:dyDescent="0.3">
      <c r="A47" s="59"/>
      <c r="B47" s="32">
        <v>44607</v>
      </c>
      <c r="C47" s="33" t="str">
        <f t="shared" si="1"/>
        <v>Dienstag</v>
      </c>
      <c r="F47" s="39" t="str">
        <f t="shared" si="0"/>
        <v/>
      </c>
    </row>
    <row r="48" spans="1:7" s="20" customFormat="1" x14ac:dyDescent="0.3">
      <c r="A48" s="59"/>
      <c r="B48" s="32">
        <v>44608</v>
      </c>
      <c r="C48" s="33" t="str">
        <f t="shared" si="1"/>
        <v>Mittwoch</v>
      </c>
      <c r="F48" s="39" t="str">
        <f t="shared" si="0"/>
        <v/>
      </c>
    </row>
    <row r="49" spans="1:7" s="20" customFormat="1" x14ac:dyDescent="0.3">
      <c r="A49" s="59"/>
      <c r="B49" s="32">
        <v>44609</v>
      </c>
      <c r="C49" s="33" t="str">
        <f t="shared" si="1"/>
        <v>Donnerstag</v>
      </c>
      <c r="F49" s="39" t="str">
        <f t="shared" si="0"/>
        <v/>
      </c>
    </row>
    <row r="50" spans="1:7" s="20" customFormat="1" x14ac:dyDescent="0.3">
      <c r="A50" s="59"/>
      <c r="B50" s="32">
        <v>44610</v>
      </c>
      <c r="C50" s="33" t="str">
        <f t="shared" si="1"/>
        <v>Freitag</v>
      </c>
      <c r="F50" s="39" t="str">
        <f t="shared" si="0"/>
        <v/>
      </c>
    </row>
    <row r="51" spans="1:7" s="44" customFormat="1" x14ac:dyDescent="0.3">
      <c r="A51" s="59"/>
      <c r="B51" s="42">
        <v>44611</v>
      </c>
      <c r="C51" s="43" t="str">
        <f t="shared" si="1"/>
        <v>Samstag</v>
      </c>
      <c r="E51" s="44" t="s">
        <v>68</v>
      </c>
      <c r="F51" s="45">
        <f>SUM(F46:F50)</f>
        <v>0</v>
      </c>
      <c r="G51" s="44">
        <f>SUM(G46:G50)</f>
        <v>0</v>
      </c>
    </row>
    <row r="52" spans="1:7" s="36" customFormat="1" x14ac:dyDescent="0.3">
      <c r="A52" s="59"/>
      <c r="B52" s="34">
        <v>44612</v>
      </c>
      <c r="C52" s="35" t="str">
        <f t="shared" si="1"/>
        <v>Sonntag</v>
      </c>
      <c r="F52" s="41" t="str">
        <f t="shared" si="0"/>
        <v/>
      </c>
    </row>
    <row r="53" spans="1:7" s="20" customFormat="1" x14ac:dyDescent="0.3">
      <c r="A53" s="56">
        <f t="shared" si="2"/>
        <v>8</v>
      </c>
      <c r="B53" s="32">
        <v>44613</v>
      </c>
      <c r="C53" s="33" t="str">
        <f t="shared" si="1"/>
        <v>Montag</v>
      </c>
      <c r="F53" s="39" t="str">
        <f t="shared" si="0"/>
        <v/>
      </c>
    </row>
    <row r="54" spans="1:7" s="20" customFormat="1" x14ac:dyDescent="0.3">
      <c r="A54" s="57"/>
      <c r="B54" s="32">
        <v>44614</v>
      </c>
      <c r="C54" s="33" t="str">
        <f t="shared" si="1"/>
        <v>Dienstag</v>
      </c>
      <c r="F54" s="39" t="str">
        <f t="shared" si="0"/>
        <v/>
      </c>
    </row>
    <row r="55" spans="1:7" s="20" customFormat="1" x14ac:dyDescent="0.3">
      <c r="A55" s="57"/>
      <c r="B55" s="32">
        <v>44615</v>
      </c>
      <c r="C55" s="33" t="str">
        <f t="shared" si="1"/>
        <v>Mittwoch</v>
      </c>
      <c r="F55" s="39" t="str">
        <f t="shared" si="0"/>
        <v/>
      </c>
    </row>
    <row r="56" spans="1:7" s="20" customFormat="1" x14ac:dyDescent="0.3">
      <c r="A56" s="57"/>
      <c r="B56" s="32">
        <v>44616</v>
      </c>
      <c r="C56" s="33" t="str">
        <f t="shared" si="1"/>
        <v>Donnerstag</v>
      </c>
      <c r="F56" s="39" t="str">
        <f t="shared" si="0"/>
        <v/>
      </c>
    </row>
    <row r="57" spans="1:7" s="20" customFormat="1" x14ac:dyDescent="0.3">
      <c r="A57" s="57"/>
      <c r="B57" s="32">
        <v>44617</v>
      </c>
      <c r="C57" s="33" t="str">
        <f t="shared" si="1"/>
        <v>Freitag</v>
      </c>
      <c r="F57" s="39" t="str">
        <f t="shared" si="0"/>
        <v/>
      </c>
    </row>
    <row r="58" spans="1:7" s="44" customFormat="1" x14ac:dyDescent="0.3">
      <c r="A58" s="57"/>
      <c r="B58" s="42">
        <v>44618</v>
      </c>
      <c r="C58" s="43" t="str">
        <f t="shared" si="1"/>
        <v>Samstag</v>
      </c>
      <c r="E58" s="44" t="s">
        <v>69</v>
      </c>
      <c r="F58" s="45">
        <f>SUM(F53:F57)</f>
        <v>0</v>
      </c>
      <c r="G58" s="44">
        <f>SUM(G53:G57)</f>
        <v>0</v>
      </c>
    </row>
    <row r="59" spans="1:7" s="36" customFormat="1" x14ac:dyDescent="0.3">
      <c r="A59" s="58"/>
      <c r="B59" s="34">
        <v>44619</v>
      </c>
      <c r="C59" s="35" t="str">
        <f t="shared" si="1"/>
        <v>Sonntag</v>
      </c>
      <c r="F59" s="41" t="str">
        <f t="shared" si="0"/>
        <v/>
      </c>
    </row>
    <row r="60" spans="1:7" s="20" customFormat="1" x14ac:dyDescent="0.3">
      <c r="A60" s="59">
        <f t="shared" si="2"/>
        <v>9</v>
      </c>
      <c r="B60" s="32">
        <v>44620</v>
      </c>
      <c r="C60" s="33" t="str">
        <f t="shared" si="1"/>
        <v>Montag</v>
      </c>
      <c r="F60" s="39" t="str">
        <f t="shared" si="0"/>
        <v/>
      </c>
    </row>
    <row r="61" spans="1:7" s="20" customFormat="1" x14ac:dyDescent="0.3">
      <c r="A61" s="59"/>
      <c r="B61" s="32">
        <v>44621</v>
      </c>
      <c r="C61" s="33" t="str">
        <f t="shared" si="1"/>
        <v>Dienstag</v>
      </c>
      <c r="F61" s="39" t="str">
        <f t="shared" si="0"/>
        <v/>
      </c>
    </row>
    <row r="62" spans="1:7" s="20" customFormat="1" x14ac:dyDescent="0.3">
      <c r="A62" s="59"/>
      <c r="B62" s="32">
        <v>44622</v>
      </c>
      <c r="C62" s="33" t="str">
        <f t="shared" si="1"/>
        <v>Mittwoch</v>
      </c>
      <c r="F62" s="39" t="str">
        <f t="shared" si="0"/>
        <v/>
      </c>
    </row>
    <row r="63" spans="1:7" s="20" customFormat="1" x14ac:dyDescent="0.3">
      <c r="A63" s="59"/>
      <c r="B63" s="32">
        <v>44623</v>
      </c>
      <c r="C63" s="33" t="str">
        <f t="shared" si="1"/>
        <v>Donnerstag</v>
      </c>
      <c r="F63" s="39" t="str">
        <f t="shared" si="0"/>
        <v/>
      </c>
    </row>
    <row r="64" spans="1:7" s="20" customFormat="1" x14ac:dyDescent="0.3">
      <c r="A64" s="59"/>
      <c r="B64" s="32">
        <v>44624</v>
      </c>
      <c r="C64" s="33" t="str">
        <f t="shared" si="1"/>
        <v>Freitag</v>
      </c>
      <c r="F64" s="39" t="str">
        <f t="shared" si="0"/>
        <v/>
      </c>
    </row>
    <row r="65" spans="1:7" s="44" customFormat="1" x14ac:dyDescent="0.3">
      <c r="A65" s="59"/>
      <c r="B65" s="42">
        <v>44625</v>
      </c>
      <c r="C65" s="43" t="str">
        <f t="shared" si="1"/>
        <v>Samstag</v>
      </c>
      <c r="E65" s="44" t="s">
        <v>70</v>
      </c>
      <c r="F65" s="45">
        <f>SUM(F60:F64)</f>
        <v>0</v>
      </c>
      <c r="G65" s="44">
        <f>SUM(G60:G64)</f>
        <v>0</v>
      </c>
    </row>
    <row r="66" spans="1:7" s="36" customFormat="1" x14ac:dyDescent="0.3">
      <c r="A66" s="59"/>
      <c r="B66" s="34">
        <v>44626</v>
      </c>
      <c r="C66" s="35" t="str">
        <f t="shared" si="1"/>
        <v>Sonntag</v>
      </c>
      <c r="F66" s="41" t="str">
        <f t="shared" si="0"/>
        <v/>
      </c>
    </row>
    <row r="67" spans="1:7" s="20" customFormat="1" x14ac:dyDescent="0.3">
      <c r="A67" s="56">
        <f t="shared" ref="A67:A130" si="3">WEEKNUM(B67,21)</f>
        <v>10</v>
      </c>
      <c r="B67" s="32">
        <v>44627</v>
      </c>
      <c r="C67" s="33" t="str">
        <f t="shared" ref="C67:C130" si="4">IF(WEEKDAY(B67,2)=1,"Montag",IF(WEEKDAY(B67,2)=2,"Dienstag",IF(WEEKDAY(B67,2)=3,"Mittwoch",IF(WEEKDAY(B67,2)=4,"Donnerstag",IF(WEEKDAY(B67,2)=5,"Freitag",IF(WEEKDAY(B67,2)=6,"Samstag",IF(WEEKDAY(B67,2)=7,"Sonntag","")))))))</f>
        <v>Montag</v>
      </c>
      <c r="F67" s="39" t="str">
        <f t="shared" ref="F67:F130" si="5">IF(D67="","",E67-D67)</f>
        <v/>
      </c>
    </row>
    <row r="68" spans="1:7" s="20" customFormat="1" x14ac:dyDescent="0.3">
      <c r="A68" s="57"/>
      <c r="B68" s="32">
        <v>44628</v>
      </c>
      <c r="C68" s="33" t="str">
        <f t="shared" si="4"/>
        <v>Dienstag</v>
      </c>
      <c r="F68" s="39" t="str">
        <f t="shared" si="5"/>
        <v/>
      </c>
    </row>
    <row r="69" spans="1:7" s="20" customFormat="1" x14ac:dyDescent="0.3">
      <c r="A69" s="57"/>
      <c r="B69" s="32">
        <v>44629</v>
      </c>
      <c r="C69" s="33" t="str">
        <f t="shared" si="4"/>
        <v>Mittwoch</v>
      </c>
      <c r="F69" s="39" t="str">
        <f t="shared" si="5"/>
        <v/>
      </c>
    </row>
    <row r="70" spans="1:7" s="20" customFormat="1" x14ac:dyDescent="0.3">
      <c r="A70" s="57"/>
      <c r="B70" s="32">
        <v>44630</v>
      </c>
      <c r="C70" s="33" t="str">
        <f t="shared" si="4"/>
        <v>Donnerstag</v>
      </c>
      <c r="F70" s="39" t="str">
        <f t="shared" si="5"/>
        <v/>
      </c>
    </row>
    <row r="71" spans="1:7" s="20" customFormat="1" x14ac:dyDescent="0.3">
      <c r="A71" s="57"/>
      <c r="B71" s="32">
        <v>44631</v>
      </c>
      <c r="C71" s="33" t="str">
        <f t="shared" si="4"/>
        <v>Freitag</v>
      </c>
      <c r="F71" s="39" t="str">
        <f t="shared" si="5"/>
        <v/>
      </c>
    </row>
    <row r="72" spans="1:7" s="44" customFormat="1" x14ac:dyDescent="0.3">
      <c r="A72" s="57"/>
      <c r="B72" s="42">
        <v>44632</v>
      </c>
      <c r="C72" s="43" t="str">
        <f t="shared" si="4"/>
        <v>Samstag</v>
      </c>
      <c r="E72" s="44" t="s">
        <v>71</v>
      </c>
      <c r="F72" s="45">
        <f>SUM(F67:F71)</f>
        <v>0</v>
      </c>
      <c r="G72" s="44">
        <f>SUM(G67:G71)</f>
        <v>0</v>
      </c>
    </row>
    <row r="73" spans="1:7" s="36" customFormat="1" x14ac:dyDescent="0.3">
      <c r="A73" s="58"/>
      <c r="B73" s="34">
        <v>44633</v>
      </c>
      <c r="C73" s="35" t="str">
        <f t="shared" si="4"/>
        <v>Sonntag</v>
      </c>
      <c r="F73" s="41" t="str">
        <f t="shared" si="5"/>
        <v/>
      </c>
    </row>
    <row r="74" spans="1:7" s="20" customFormat="1" x14ac:dyDescent="0.3">
      <c r="A74" s="59">
        <f t="shared" si="3"/>
        <v>11</v>
      </c>
      <c r="B74" s="32">
        <v>44634</v>
      </c>
      <c r="C74" s="33" t="str">
        <f t="shared" si="4"/>
        <v>Montag</v>
      </c>
      <c r="F74" s="39" t="str">
        <f t="shared" si="5"/>
        <v/>
      </c>
    </row>
    <row r="75" spans="1:7" s="20" customFormat="1" x14ac:dyDescent="0.3">
      <c r="A75" s="59"/>
      <c r="B75" s="32">
        <v>44635</v>
      </c>
      <c r="C75" s="33" t="str">
        <f t="shared" si="4"/>
        <v>Dienstag</v>
      </c>
      <c r="F75" s="39" t="str">
        <f t="shared" si="5"/>
        <v/>
      </c>
    </row>
    <row r="76" spans="1:7" s="20" customFormat="1" x14ac:dyDescent="0.3">
      <c r="A76" s="59"/>
      <c r="B76" s="32">
        <v>44636</v>
      </c>
      <c r="C76" s="33" t="str">
        <f t="shared" si="4"/>
        <v>Mittwoch</v>
      </c>
      <c r="F76" s="39" t="str">
        <f t="shared" si="5"/>
        <v/>
      </c>
    </row>
    <row r="77" spans="1:7" s="20" customFormat="1" x14ac:dyDescent="0.3">
      <c r="A77" s="59"/>
      <c r="B77" s="32">
        <v>44637</v>
      </c>
      <c r="C77" s="33" t="str">
        <f t="shared" si="4"/>
        <v>Donnerstag</v>
      </c>
      <c r="F77" s="39" t="str">
        <f t="shared" si="5"/>
        <v/>
      </c>
    </row>
    <row r="78" spans="1:7" s="20" customFormat="1" x14ac:dyDescent="0.3">
      <c r="A78" s="59"/>
      <c r="B78" s="32">
        <v>44638</v>
      </c>
      <c r="C78" s="33" t="str">
        <f t="shared" si="4"/>
        <v>Freitag</v>
      </c>
      <c r="F78" s="39" t="str">
        <f t="shared" si="5"/>
        <v/>
      </c>
    </row>
    <row r="79" spans="1:7" s="44" customFormat="1" x14ac:dyDescent="0.3">
      <c r="A79" s="59"/>
      <c r="B79" s="42">
        <v>44639</v>
      </c>
      <c r="C79" s="43" t="str">
        <f t="shared" si="4"/>
        <v>Samstag</v>
      </c>
      <c r="E79" s="44" t="s">
        <v>72</v>
      </c>
      <c r="F79" s="45">
        <f>SUM(F74:F78)</f>
        <v>0</v>
      </c>
      <c r="G79" s="44">
        <f>SUM(G74:G78)</f>
        <v>0</v>
      </c>
    </row>
    <row r="80" spans="1:7" s="36" customFormat="1" x14ac:dyDescent="0.3">
      <c r="A80" s="59"/>
      <c r="B80" s="34">
        <v>44640</v>
      </c>
      <c r="C80" s="35" t="str">
        <f t="shared" si="4"/>
        <v>Sonntag</v>
      </c>
      <c r="F80" s="41" t="str">
        <f t="shared" si="5"/>
        <v/>
      </c>
    </row>
    <row r="81" spans="1:7" s="20" customFormat="1" x14ac:dyDescent="0.3">
      <c r="A81" s="56">
        <f t="shared" si="3"/>
        <v>12</v>
      </c>
      <c r="B81" s="32">
        <v>44641</v>
      </c>
      <c r="C81" s="33" t="str">
        <f t="shared" si="4"/>
        <v>Montag</v>
      </c>
      <c r="F81" s="39" t="str">
        <f t="shared" si="5"/>
        <v/>
      </c>
    </row>
    <row r="82" spans="1:7" s="20" customFormat="1" x14ac:dyDescent="0.3">
      <c r="A82" s="57"/>
      <c r="B82" s="32">
        <v>44642</v>
      </c>
      <c r="C82" s="33" t="str">
        <f t="shared" si="4"/>
        <v>Dienstag</v>
      </c>
      <c r="F82" s="39" t="str">
        <f t="shared" si="5"/>
        <v/>
      </c>
    </row>
    <row r="83" spans="1:7" s="20" customFormat="1" x14ac:dyDescent="0.3">
      <c r="A83" s="57"/>
      <c r="B83" s="32">
        <v>44643</v>
      </c>
      <c r="C83" s="33" t="str">
        <f t="shared" si="4"/>
        <v>Mittwoch</v>
      </c>
      <c r="F83" s="39" t="str">
        <f t="shared" si="5"/>
        <v/>
      </c>
    </row>
    <row r="84" spans="1:7" s="20" customFormat="1" x14ac:dyDescent="0.3">
      <c r="A84" s="57"/>
      <c r="B84" s="32">
        <v>44644</v>
      </c>
      <c r="C84" s="33" t="str">
        <f t="shared" si="4"/>
        <v>Donnerstag</v>
      </c>
      <c r="F84" s="39" t="str">
        <f t="shared" si="5"/>
        <v/>
      </c>
    </row>
    <row r="85" spans="1:7" s="20" customFormat="1" x14ac:dyDescent="0.3">
      <c r="A85" s="57"/>
      <c r="B85" s="32">
        <v>44645</v>
      </c>
      <c r="C85" s="33" t="str">
        <f t="shared" si="4"/>
        <v>Freitag</v>
      </c>
      <c r="F85" s="39" t="str">
        <f t="shared" si="5"/>
        <v/>
      </c>
    </row>
    <row r="86" spans="1:7" s="44" customFormat="1" x14ac:dyDescent="0.3">
      <c r="A86" s="57"/>
      <c r="B86" s="42">
        <v>44646</v>
      </c>
      <c r="C86" s="43" t="str">
        <f t="shared" si="4"/>
        <v>Samstag</v>
      </c>
      <c r="E86" s="44" t="s">
        <v>73</v>
      </c>
      <c r="F86" s="45">
        <f>SUM(F81:F85)</f>
        <v>0</v>
      </c>
      <c r="G86" s="44">
        <f>SUM(G81:G85)</f>
        <v>0</v>
      </c>
    </row>
    <row r="87" spans="1:7" s="36" customFormat="1" x14ac:dyDescent="0.3">
      <c r="A87" s="58"/>
      <c r="B87" s="34">
        <v>44647</v>
      </c>
      <c r="C87" s="35" t="str">
        <f t="shared" si="4"/>
        <v>Sonntag</v>
      </c>
      <c r="F87" s="41" t="str">
        <f t="shared" si="5"/>
        <v/>
      </c>
    </row>
    <row r="88" spans="1:7" s="20" customFormat="1" x14ac:dyDescent="0.3">
      <c r="A88" s="59">
        <f t="shared" si="3"/>
        <v>13</v>
      </c>
      <c r="B88" s="32">
        <v>44648</v>
      </c>
      <c r="C88" s="33" t="str">
        <f t="shared" si="4"/>
        <v>Montag</v>
      </c>
      <c r="F88" s="39" t="str">
        <f t="shared" si="5"/>
        <v/>
      </c>
    </row>
    <row r="89" spans="1:7" s="20" customFormat="1" x14ac:dyDescent="0.3">
      <c r="A89" s="59"/>
      <c r="B89" s="32">
        <v>44649</v>
      </c>
      <c r="C89" s="33" t="str">
        <f t="shared" si="4"/>
        <v>Dienstag</v>
      </c>
      <c r="F89" s="39" t="str">
        <f t="shared" si="5"/>
        <v/>
      </c>
    </row>
    <row r="90" spans="1:7" s="20" customFormat="1" x14ac:dyDescent="0.3">
      <c r="A90" s="59"/>
      <c r="B90" s="32">
        <v>44650</v>
      </c>
      <c r="C90" s="33" t="str">
        <f t="shared" si="4"/>
        <v>Mittwoch</v>
      </c>
      <c r="F90" s="39" t="str">
        <f t="shared" si="5"/>
        <v/>
      </c>
    </row>
    <row r="91" spans="1:7" s="20" customFormat="1" x14ac:dyDescent="0.3">
      <c r="A91" s="59"/>
      <c r="B91" s="32">
        <v>44651</v>
      </c>
      <c r="C91" s="33" t="str">
        <f t="shared" si="4"/>
        <v>Donnerstag</v>
      </c>
      <c r="F91" s="39" t="str">
        <f t="shared" si="5"/>
        <v/>
      </c>
    </row>
    <row r="92" spans="1:7" s="20" customFormat="1" x14ac:dyDescent="0.3">
      <c r="A92" s="59"/>
      <c r="B92" s="32">
        <v>44652</v>
      </c>
      <c r="C92" s="33" t="str">
        <f t="shared" si="4"/>
        <v>Freitag</v>
      </c>
      <c r="F92" s="39" t="str">
        <f t="shared" si="5"/>
        <v/>
      </c>
    </row>
    <row r="93" spans="1:7" s="44" customFormat="1" x14ac:dyDescent="0.3">
      <c r="A93" s="59"/>
      <c r="B93" s="42">
        <v>44653</v>
      </c>
      <c r="C93" s="43" t="str">
        <f t="shared" si="4"/>
        <v>Samstag</v>
      </c>
      <c r="E93" s="44" t="s">
        <v>74</v>
      </c>
      <c r="F93" s="45">
        <f>SUM(F88:F92)</f>
        <v>0</v>
      </c>
      <c r="G93" s="44">
        <f>SUM(G88:G92)</f>
        <v>0</v>
      </c>
    </row>
    <row r="94" spans="1:7" s="36" customFormat="1" x14ac:dyDescent="0.3">
      <c r="A94" s="59"/>
      <c r="B94" s="34">
        <v>44654</v>
      </c>
      <c r="C94" s="35" t="str">
        <f t="shared" si="4"/>
        <v>Sonntag</v>
      </c>
      <c r="F94" s="41" t="str">
        <f t="shared" si="5"/>
        <v/>
      </c>
    </row>
    <row r="95" spans="1:7" s="20" customFormat="1" x14ac:dyDescent="0.3">
      <c r="A95" s="56">
        <f t="shared" si="3"/>
        <v>14</v>
      </c>
      <c r="B95" s="32">
        <v>44655</v>
      </c>
      <c r="C95" s="33" t="str">
        <f t="shared" si="4"/>
        <v>Montag</v>
      </c>
      <c r="F95" s="39" t="str">
        <f t="shared" si="5"/>
        <v/>
      </c>
    </row>
    <row r="96" spans="1:7" s="20" customFormat="1" x14ac:dyDescent="0.3">
      <c r="A96" s="57"/>
      <c r="B96" s="32">
        <v>44656</v>
      </c>
      <c r="C96" s="33" t="str">
        <f t="shared" si="4"/>
        <v>Dienstag</v>
      </c>
      <c r="F96" s="39" t="str">
        <f t="shared" si="5"/>
        <v/>
      </c>
    </row>
    <row r="97" spans="1:7" s="20" customFormat="1" x14ac:dyDescent="0.3">
      <c r="A97" s="57"/>
      <c r="B97" s="32">
        <v>44657</v>
      </c>
      <c r="C97" s="33" t="str">
        <f t="shared" si="4"/>
        <v>Mittwoch</v>
      </c>
      <c r="F97" s="39" t="str">
        <f t="shared" si="5"/>
        <v/>
      </c>
    </row>
    <row r="98" spans="1:7" s="20" customFormat="1" x14ac:dyDescent="0.3">
      <c r="A98" s="57"/>
      <c r="B98" s="32">
        <v>44658</v>
      </c>
      <c r="C98" s="33" t="str">
        <f t="shared" si="4"/>
        <v>Donnerstag</v>
      </c>
      <c r="F98" s="39" t="str">
        <f t="shared" si="5"/>
        <v/>
      </c>
    </row>
    <row r="99" spans="1:7" s="20" customFormat="1" x14ac:dyDescent="0.3">
      <c r="A99" s="57"/>
      <c r="B99" s="32">
        <v>44659</v>
      </c>
      <c r="C99" s="33" t="str">
        <f t="shared" si="4"/>
        <v>Freitag</v>
      </c>
      <c r="F99" s="39" t="str">
        <f t="shared" si="5"/>
        <v/>
      </c>
    </row>
    <row r="100" spans="1:7" s="44" customFormat="1" x14ac:dyDescent="0.3">
      <c r="A100" s="57"/>
      <c r="B100" s="42">
        <v>44660</v>
      </c>
      <c r="C100" s="43" t="str">
        <f t="shared" si="4"/>
        <v>Samstag</v>
      </c>
      <c r="E100" s="44" t="s">
        <v>75</v>
      </c>
      <c r="F100" s="45">
        <f>SUM(F95:F99)</f>
        <v>0</v>
      </c>
      <c r="G100" s="44">
        <f>SUM(G95:G99)</f>
        <v>0</v>
      </c>
    </row>
    <row r="101" spans="1:7" s="36" customFormat="1" x14ac:dyDescent="0.3">
      <c r="A101" s="58"/>
      <c r="B101" s="34">
        <v>44661</v>
      </c>
      <c r="C101" s="35" t="str">
        <f t="shared" si="4"/>
        <v>Sonntag</v>
      </c>
      <c r="F101" s="41" t="str">
        <f t="shared" si="5"/>
        <v/>
      </c>
    </row>
    <row r="102" spans="1:7" s="20" customFormat="1" x14ac:dyDescent="0.3">
      <c r="A102" s="59">
        <f t="shared" si="3"/>
        <v>15</v>
      </c>
      <c r="B102" s="32">
        <v>44662</v>
      </c>
      <c r="C102" s="33" t="str">
        <f t="shared" si="4"/>
        <v>Montag</v>
      </c>
      <c r="F102" s="39" t="str">
        <f t="shared" si="5"/>
        <v/>
      </c>
    </row>
    <row r="103" spans="1:7" s="20" customFormat="1" x14ac:dyDescent="0.3">
      <c r="A103" s="59"/>
      <c r="B103" s="32">
        <v>44663</v>
      </c>
      <c r="C103" s="33" t="str">
        <f t="shared" si="4"/>
        <v>Dienstag</v>
      </c>
      <c r="F103" s="39" t="str">
        <f t="shared" si="5"/>
        <v/>
      </c>
    </row>
    <row r="104" spans="1:7" s="20" customFormat="1" x14ac:dyDescent="0.3">
      <c r="A104" s="59"/>
      <c r="B104" s="32">
        <v>44664</v>
      </c>
      <c r="C104" s="33" t="str">
        <f t="shared" si="4"/>
        <v>Mittwoch</v>
      </c>
      <c r="F104" s="39" t="str">
        <f t="shared" si="5"/>
        <v/>
      </c>
    </row>
    <row r="105" spans="1:7" s="20" customFormat="1" x14ac:dyDescent="0.3">
      <c r="A105" s="59"/>
      <c r="B105" s="32">
        <v>44665</v>
      </c>
      <c r="C105" s="33" t="str">
        <f t="shared" si="4"/>
        <v>Donnerstag</v>
      </c>
      <c r="F105" s="39" t="str">
        <f t="shared" si="5"/>
        <v/>
      </c>
    </row>
    <row r="106" spans="1:7" s="20" customFormat="1" x14ac:dyDescent="0.3">
      <c r="A106" s="59"/>
      <c r="B106" s="32">
        <v>44666</v>
      </c>
      <c r="C106" s="33" t="str">
        <f t="shared" si="4"/>
        <v>Freitag</v>
      </c>
      <c r="F106" s="39" t="str">
        <f t="shared" si="5"/>
        <v/>
      </c>
    </row>
    <row r="107" spans="1:7" s="44" customFormat="1" x14ac:dyDescent="0.3">
      <c r="A107" s="59"/>
      <c r="B107" s="42">
        <v>44667</v>
      </c>
      <c r="C107" s="43" t="str">
        <f t="shared" si="4"/>
        <v>Samstag</v>
      </c>
      <c r="E107" s="44" t="s">
        <v>76</v>
      </c>
      <c r="F107" s="45">
        <f>SUM(F102:F106)</f>
        <v>0</v>
      </c>
      <c r="G107" s="44">
        <f>SUM(G102:G106)</f>
        <v>0</v>
      </c>
    </row>
    <row r="108" spans="1:7" s="36" customFormat="1" x14ac:dyDescent="0.3">
      <c r="A108" s="59"/>
      <c r="B108" s="34">
        <v>44668</v>
      </c>
      <c r="C108" s="35" t="str">
        <f t="shared" si="4"/>
        <v>Sonntag</v>
      </c>
      <c r="F108" s="41" t="str">
        <f t="shared" si="5"/>
        <v/>
      </c>
    </row>
    <row r="109" spans="1:7" s="20" customFormat="1" x14ac:dyDescent="0.3">
      <c r="A109" s="56">
        <f t="shared" si="3"/>
        <v>16</v>
      </c>
      <c r="B109" s="32">
        <v>44669</v>
      </c>
      <c r="C109" s="33" t="str">
        <f t="shared" si="4"/>
        <v>Montag</v>
      </c>
      <c r="F109" s="39" t="str">
        <f t="shared" si="5"/>
        <v/>
      </c>
    </row>
    <row r="110" spans="1:7" s="20" customFormat="1" x14ac:dyDescent="0.3">
      <c r="A110" s="57"/>
      <c r="B110" s="32">
        <v>44670</v>
      </c>
      <c r="C110" s="33" t="str">
        <f t="shared" si="4"/>
        <v>Dienstag</v>
      </c>
      <c r="F110" s="39" t="str">
        <f t="shared" si="5"/>
        <v/>
      </c>
    </row>
    <row r="111" spans="1:7" s="20" customFormat="1" x14ac:dyDescent="0.3">
      <c r="A111" s="57"/>
      <c r="B111" s="32">
        <v>44671</v>
      </c>
      <c r="C111" s="33" t="str">
        <f t="shared" si="4"/>
        <v>Mittwoch</v>
      </c>
      <c r="F111" s="39" t="str">
        <f t="shared" si="5"/>
        <v/>
      </c>
    </row>
    <row r="112" spans="1:7" s="20" customFormat="1" x14ac:dyDescent="0.3">
      <c r="A112" s="57"/>
      <c r="B112" s="32">
        <v>44672</v>
      </c>
      <c r="C112" s="33" t="str">
        <f t="shared" si="4"/>
        <v>Donnerstag</v>
      </c>
      <c r="F112" s="39" t="str">
        <f t="shared" si="5"/>
        <v/>
      </c>
    </row>
    <row r="113" spans="1:7" s="20" customFormat="1" x14ac:dyDescent="0.3">
      <c r="A113" s="57"/>
      <c r="B113" s="32">
        <v>44673</v>
      </c>
      <c r="C113" s="33" t="str">
        <f t="shared" si="4"/>
        <v>Freitag</v>
      </c>
      <c r="F113" s="39" t="str">
        <f t="shared" si="5"/>
        <v/>
      </c>
    </row>
    <row r="114" spans="1:7" s="44" customFormat="1" x14ac:dyDescent="0.3">
      <c r="A114" s="57"/>
      <c r="B114" s="42">
        <v>44674</v>
      </c>
      <c r="C114" s="43" t="str">
        <f t="shared" si="4"/>
        <v>Samstag</v>
      </c>
      <c r="E114" s="44" t="s">
        <v>77</v>
      </c>
      <c r="F114" s="45">
        <f>SUM(F109:F113)</f>
        <v>0</v>
      </c>
      <c r="G114" s="44">
        <f>SUM(G109:G113)</f>
        <v>0</v>
      </c>
    </row>
    <row r="115" spans="1:7" s="36" customFormat="1" x14ac:dyDescent="0.3">
      <c r="A115" s="58"/>
      <c r="B115" s="34">
        <v>44675</v>
      </c>
      <c r="C115" s="35" t="str">
        <f t="shared" si="4"/>
        <v>Sonntag</v>
      </c>
      <c r="F115" s="41" t="str">
        <f t="shared" si="5"/>
        <v/>
      </c>
    </row>
    <row r="116" spans="1:7" s="20" customFormat="1" x14ac:dyDescent="0.3">
      <c r="A116" s="59">
        <f t="shared" si="3"/>
        <v>17</v>
      </c>
      <c r="B116" s="32">
        <v>44676</v>
      </c>
      <c r="C116" s="33" t="str">
        <f t="shared" si="4"/>
        <v>Montag</v>
      </c>
      <c r="F116" s="39" t="str">
        <f t="shared" si="5"/>
        <v/>
      </c>
    </row>
    <row r="117" spans="1:7" s="20" customFormat="1" x14ac:dyDescent="0.3">
      <c r="A117" s="59"/>
      <c r="B117" s="32">
        <v>44677</v>
      </c>
      <c r="C117" s="33" t="str">
        <f t="shared" si="4"/>
        <v>Dienstag</v>
      </c>
      <c r="F117" s="39" t="str">
        <f t="shared" si="5"/>
        <v/>
      </c>
    </row>
    <row r="118" spans="1:7" s="20" customFormat="1" x14ac:dyDescent="0.3">
      <c r="A118" s="59"/>
      <c r="B118" s="32">
        <v>44678</v>
      </c>
      <c r="C118" s="33" t="str">
        <f t="shared" si="4"/>
        <v>Mittwoch</v>
      </c>
      <c r="F118" s="39" t="str">
        <f t="shared" si="5"/>
        <v/>
      </c>
    </row>
    <row r="119" spans="1:7" s="20" customFormat="1" x14ac:dyDescent="0.3">
      <c r="A119" s="59"/>
      <c r="B119" s="32">
        <v>44679</v>
      </c>
      <c r="C119" s="33" t="str">
        <f t="shared" si="4"/>
        <v>Donnerstag</v>
      </c>
      <c r="F119" s="39" t="str">
        <f t="shared" si="5"/>
        <v/>
      </c>
    </row>
    <row r="120" spans="1:7" s="20" customFormat="1" x14ac:dyDescent="0.3">
      <c r="A120" s="59"/>
      <c r="B120" s="32">
        <v>44680</v>
      </c>
      <c r="C120" s="33" t="str">
        <f t="shared" si="4"/>
        <v>Freitag</v>
      </c>
      <c r="F120" s="39" t="str">
        <f t="shared" si="5"/>
        <v/>
      </c>
    </row>
    <row r="121" spans="1:7" s="44" customFormat="1" x14ac:dyDescent="0.3">
      <c r="A121" s="59"/>
      <c r="B121" s="42">
        <v>44681</v>
      </c>
      <c r="C121" s="43" t="str">
        <f t="shared" si="4"/>
        <v>Samstag</v>
      </c>
      <c r="E121" s="44" t="s">
        <v>78</v>
      </c>
      <c r="F121" s="45">
        <f>SUM(F116:F120)</f>
        <v>0</v>
      </c>
      <c r="G121" s="44">
        <f>SUM(G116:G120)</f>
        <v>0</v>
      </c>
    </row>
    <row r="122" spans="1:7" s="36" customFormat="1" x14ac:dyDescent="0.3">
      <c r="A122" s="59"/>
      <c r="B122" s="34">
        <v>44682</v>
      </c>
      <c r="C122" s="35" t="str">
        <f t="shared" si="4"/>
        <v>Sonntag</v>
      </c>
      <c r="F122" s="41" t="str">
        <f t="shared" si="5"/>
        <v/>
      </c>
    </row>
    <row r="123" spans="1:7" s="20" customFormat="1" x14ac:dyDescent="0.3">
      <c r="A123" s="56">
        <f t="shared" si="3"/>
        <v>18</v>
      </c>
      <c r="B123" s="32">
        <v>44683</v>
      </c>
      <c r="C123" s="33" t="str">
        <f t="shared" si="4"/>
        <v>Montag</v>
      </c>
      <c r="F123" s="39" t="str">
        <f t="shared" si="5"/>
        <v/>
      </c>
    </row>
    <row r="124" spans="1:7" s="20" customFormat="1" x14ac:dyDescent="0.3">
      <c r="A124" s="57"/>
      <c r="B124" s="32">
        <v>44684</v>
      </c>
      <c r="C124" s="33" t="str">
        <f t="shared" si="4"/>
        <v>Dienstag</v>
      </c>
      <c r="F124" s="39" t="str">
        <f t="shared" si="5"/>
        <v/>
      </c>
    </row>
    <row r="125" spans="1:7" s="20" customFormat="1" x14ac:dyDescent="0.3">
      <c r="A125" s="57"/>
      <c r="B125" s="32">
        <v>44685</v>
      </c>
      <c r="C125" s="33" t="str">
        <f t="shared" si="4"/>
        <v>Mittwoch</v>
      </c>
      <c r="F125" s="39" t="str">
        <f t="shared" si="5"/>
        <v/>
      </c>
    </row>
    <row r="126" spans="1:7" s="20" customFormat="1" x14ac:dyDescent="0.3">
      <c r="A126" s="57"/>
      <c r="B126" s="32">
        <v>44686</v>
      </c>
      <c r="C126" s="33" t="str">
        <f t="shared" si="4"/>
        <v>Donnerstag</v>
      </c>
      <c r="F126" s="39" t="str">
        <f t="shared" si="5"/>
        <v/>
      </c>
    </row>
    <row r="127" spans="1:7" s="20" customFormat="1" x14ac:dyDescent="0.3">
      <c r="A127" s="57"/>
      <c r="B127" s="32">
        <v>44687</v>
      </c>
      <c r="C127" s="33" t="str">
        <f t="shared" si="4"/>
        <v>Freitag</v>
      </c>
      <c r="F127" s="39" t="str">
        <f t="shared" si="5"/>
        <v/>
      </c>
    </row>
    <row r="128" spans="1:7" s="44" customFormat="1" x14ac:dyDescent="0.3">
      <c r="A128" s="57"/>
      <c r="B128" s="42">
        <v>44688</v>
      </c>
      <c r="C128" s="43" t="str">
        <f t="shared" si="4"/>
        <v>Samstag</v>
      </c>
      <c r="E128" s="44" t="s">
        <v>79</v>
      </c>
      <c r="F128" s="45">
        <f>SUM(F123:F127)</f>
        <v>0</v>
      </c>
      <c r="G128" s="44">
        <f>SUM(G123:G127)</f>
        <v>0</v>
      </c>
    </row>
    <row r="129" spans="1:7" s="36" customFormat="1" x14ac:dyDescent="0.3">
      <c r="A129" s="58"/>
      <c r="B129" s="34">
        <v>44689</v>
      </c>
      <c r="C129" s="35" t="str">
        <f t="shared" si="4"/>
        <v>Sonntag</v>
      </c>
      <c r="F129" s="41" t="str">
        <f t="shared" si="5"/>
        <v/>
      </c>
    </row>
    <row r="130" spans="1:7" s="20" customFormat="1" x14ac:dyDescent="0.3">
      <c r="A130" s="59">
        <f t="shared" si="3"/>
        <v>19</v>
      </c>
      <c r="B130" s="32">
        <v>44690</v>
      </c>
      <c r="C130" s="33" t="str">
        <f t="shared" si="4"/>
        <v>Montag</v>
      </c>
      <c r="F130" s="39" t="str">
        <f t="shared" si="5"/>
        <v/>
      </c>
    </row>
    <row r="131" spans="1:7" s="20" customFormat="1" x14ac:dyDescent="0.3">
      <c r="A131" s="59"/>
      <c r="B131" s="32">
        <v>44691</v>
      </c>
      <c r="C131" s="33" t="str">
        <f t="shared" ref="C131:C194" si="6">IF(WEEKDAY(B131,2)=1,"Montag",IF(WEEKDAY(B131,2)=2,"Dienstag",IF(WEEKDAY(B131,2)=3,"Mittwoch",IF(WEEKDAY(B131,2)=4,"Donnerstag",IF(WEEKDAY(B131,2)=5,"Freitag",IF(WEEKDAY(B131,2)=6,"Samstag",IF(WEEKDAY(B131,2)=7,"Sonntag","")))))))</f>
        <v>Dienstag</v>
      </c>
      <c r="F131" s="39" t="str">
        <f t="shared" ref="F131:F194" si="7">IF(D131="","",E131-D131)</f>
        <v/>
      </c>
    </row>
    <row r="132" spans="1:7" s="20" customFormat="1" x14ac:dyDescent="0.3">
      <c r="A132" s="59"/>
      <c r="B132" s="32">
        <v>44692</v>
      </c>
      <c r="C132" s="33" t="str">
        <f t="shared" si="6"/>
        <v>Mittwoch</v>
      </c>
      <c r="F132" s="39" t="str">
        <f t="shared" si="7"/>
        <v/>
      </c>
    </row>
    <row r="133" spans="1:7" s="20" customFormat="1" x14ac:dyDescent="0.3">
      <c r="A133" s="59"/>
      <c r="B133" s="32">
        <v>44693</v>
      </c>
      <c r="C133" s="33" t="str">
        <f t="shared" si="6"/>
        <v>Donnerstag</v>
      </c>
      <c r="F133" s="39" t="str">
        <f t="shared" si="7"/>
        <v/>
      </c>
    </row>
    <row r="134" spans="1:7" s="20" customFormat="1" x14ac:dyDescent="0.3">
      <c r="A134" s="59"/>
      <c r="B134" s="32">
        <v>44694</v>
      </c>
      <c r="C134" s="33" t="str">
        <f t="shared" si="6"/>
        <v>Freitag</v>
      </c>
      <c r="F134" s="39" t="str">
        <f t="shared" si="7"/>
        <v/>
      </c>
    </row>
    <row r="135" spans="1:7" s="44" customFormat="1" x14ac:dyDescent="0.3">
      <c r="A135" s="59"/>
      <c r="B135" s="42">
        <v>44695</v>
      </c>
      <c r="C135" s="43" t="str">
        <f t="shared" si="6"/>
        <v>Samstag</v>
      </c>
      <c r="E135" s="44" t="s">
        <v>80</v>
      </c>
      <c r="F135" s="45">
        <f>SUM(F130:F134)</f>
        <v>0</v>
      </c>
      <c r="G135" s="44">
        <f>SUM(G130:G134)</f>
        <v>0</v>
      </c>
    </row>
    <row r="136" spans="1:7" s="36" customFormat="1" x14ac:dyDescent="0.3">
      <c r="A136" s="59"/>
      <c r="B136" s="34">
        <v>44696</v>
      </c>
      <c r="C136" s="35" t="str">
        <f t="shared" si="6"/>
        <v>Sonntag</v>
      </c>
      <c r="F136" s="41" t="str">
        <f t="shared" si="7"/>
        <v/>
      </c>
    </row>
    <row r="137" spans="1:7" s="20" customFormat="1" x14ac:dyDescent="0.3">
      <c r="A137" s="56">
        <f t="shared" ref="A137:A193" si="8">WEEKNUM(B137,21)</f>
        <v>20</v>
      </c>
      <c r="B137" s="32">
        <v>44697</v>
      </c>
      <c r="C137" s="33" t="str">
        <f t="shared" si="6"/>
        <v>Montag</v>
      </c>
      <c r="F137" s="39" t="str">
        <f t="shared" si="7"/>
        <v/>
      </c>
    </row>
    <row r="138" spans="1:7" s="20" customFormat="1" x14ac:dyDescent="0.3">
      <c r="A138" s="57"/>
      <c r="B138" s="32">
        <v>44698</v>
      </c>
      <c r="C138" s="33" t="str">
        <f t="shared" si="6"/>
        <v>Dienstag</v>
      </c>
      <c r="F138" s="39" t="str">
        <f t="shared" si="7"/>
        <v/>
      </c>
    </row>
    <row r="139" spans="1:7" s="20" customFormat="1" x14ac:dyDescent="0.3">
      <c r="A139" s="57"/>
      <c r="B139" s="32">
        <v>44699</v>
      </c>
      <c r="C139" s="33" t="str">
        <f t="shared" si="6"/>
        <v>Mittwoch</v>
      </c>
      <c r="F139" s="39" t="str">
        <f t="shared" si="7"/>
        <v/>
      </c>
    </row>
    <row r="140" spans="1:7" s="20" customFormat="1" x14ac:dyDescent="0.3">
      <c r="A140" s="57"/>
      <c r="B140" s="32">
        <v>44700</v>
      </c>
      <c r="C140" s="33" t="str">
        <f t="shared" si="6"/>
        <v>Donnerstag</v>
      </c>
      <c r="F140" s="39" t="str">
        <f t="shared" si="7"/>
        <v/>
      </c>
    </row>
    <row r="141" spans="1:7" s="20" customFormat="1" x14ac:dyDescent="0.3">
      <c r="A141" s="57"/>
      <c r="B141" s="32">
        <v>44701</v>
      </c>
      <c r="C141" s="33" t="str">
        <f t="shared" si="6"/>
        <v>Freitag</v>
      </c>
      <c r="F141" s="39" t="str">
        <f t="shared" si="7"/>
        <v/>
      </c>
    </row>
    <row r="142" spans="1:7" s="44" customFormat="1" x14ac:dyDescent="0.3">
      <c r="A142" s="57"/>
      <c r="B142" s="42">
        <v>44702</v>
      </c>
      <c r="C142" s="43" t="str">
        <f t="shared" si="6"/>
        <v>Samstag</v>
      </c>
      <c r="E142" s="44" t="s">
        <v>81</v>
      </c>
      <c r="F142" s="45">
        <f>SUM(F137:F141)</f>
        <v>0</v>
      </c>
      <c r="G142" s="44">
        <f>SUM(G137:G141)</f>
        <v>0</v>
      </c>
    </row>
    <row r="143" spans="1:7" s="36" customFormat="1" x14ac:dyDescent="0.3">
      <c r="A143" s="58"/>
      <c r="B143" s="34">
        <v>44703</v>
      </c>
      <c r="C143" s="35" t="str">
        <f t="shared" si="6"/>
        <v>Sonntag</v>
      </c>
      <c r="F143" s="41" t="str">
        <f t="shared" si="7"/>
        <v/>
      </c>
    </row>
    <row r="144" spans="1:7" s="20" customFormat="1" x14ac:dyDescent="0.3">
      <c r="A144" s="59">
        <f t="shared" si="8"/>
        <v>21</v>
      </c>
      <c r="B144" s="32">
        <v>44704</v>
      </c>
      <c r="C144" s="33" t="str">
        <f t="shared" si="6"/>
        <v>Montag</v>
      </c>
      <c r="F144" s="39" t="str">
        <f t="shared" si="7"/>
        <v/>
      </c>
    </row>
    <row r="145" spans="1:7" s="20" customFormat="1" x14ac:dyDescent="0.3">
      <c r="A145" s="59"/>
      <c r="B145" s="32">
        <v>44705</v>
      </c>
      <c r="C145" s="33" t="str">
        <f t="shared" si="6"/>
        <v>Dienstag</v>
      </c>
      <c r="F145" s="39" t="str">
        <f t="shared" si="7"/>
        <v/>
      </c>
    </row>
    <row r="146" spans="1:7" s="20" customFormat="1" x14ac:dyDescent="0.3">
      <c r="A146" s="59"/>
      <c r="B146" s="32">
        <v>44706</v>
      </c>
      <c r="C146" s="33" t="str">
        <f t="shared" si="6"/>
        <v>Mittwoch</v>
      </c>
      <c r="F146" s="39" t="str">
        <f t="shared" si="7"/>
        <v/>
      </c>
    </row>
    <row r="147" spans="1:7" s="20" customFormat="1" x14ac:dyDescent="0.3">
      <c r="A147" s="59"/>
      <c r="B147" s="32">
        <v>44707</v>
      </c>
      <c r="C147" s="33" t="str">
        <f t="shared" si="6"/>
        <v>Donnerstag</v>
      </c>
      <c r="F147" s="39" t="str">
        <f t="shared" si="7"/>
        <v/>
      </c>
    </row>
    <row r="148" spans="1:7" s="20" customFormat="1" x14ac:dyDescent="0.3">
      <c r="A148" s="59"/>
      <c r="B148" s="32">
        <v>44708</v>
      </c>
      <c r="C148" s="33" t="str">
        <f t="shared" si="6"/>
        <v>Freitag</v>
      </c>
      <c r="F148" s="39" t="str">
        <f t="shared" si="7"/>
        <v/>
      </c>
    </row>
    <row r="149" spans="1:7" s="44" customFormat="1" x14ac:dyDescent="0.3">
      <c r="A149" s="59"/>
      <c r="B149" s="42">
        <v>44709</v>
      </c>
      <c r="C149" s="43" t="str">
        <f t="shared" si="6"/>
        <v>Samstag</v>
      </c>
      <c r="E149" s="44" t="s">
        <v>82</v>
      </c>
      <c r="F149" s="45">
        <f>SUM(F144:F148)</f>
        <v>0</v>
      </c>
      <c r="G149" s="44">
        <f>SUM(G144:G148)</f>
        <v>0</v>
      </c>
    </row>
    <row r="150" spans="1:7" s="36" customFormat="1" x14ac:dyDescent="0.3">
      <c r="A150" s="59"/>
      <c r="B150" s="34">
        <v>44710</v>
      </c>
      <c r="C150" s="35" t="str">
        <f t="shared" si="6"/>
        <v>Sonntag</v>
      </c>
      <c r="F150" s="41" t="str">
        <f t="shared" si="7"/>
        <v/>
      </c>
    </row>
    <row r="151" spans="1:7" s="20" customFormat="1" x14ac:dyDescent="0.3">
      <c r="A151" s="56">
        <f t="shared" si="8"/>
        <v>22</v>
      </c>
      <c r="B151" s="32">
        <v>44711</v>
      </c>
      <c r="C151" s="33" t="str">
        <f t="shared" si="6"/>
        <v>Montag</v>
      </c>
      <c r="F151" s="39" t="str">
        <f t="shared" si="7"/>
        <v/>
      </c>
    </row>
    <row r="152" spans="1:7" s="20" customFormat="1" x14ac:dyDescent="0.3">
      <c r="A152" s="57"/>
      <c r="B152" s="32">
        <v>44712</v>
      </c>
      <c r="C152" s="33" t="str">
        <f t="shared" si="6"/>
        <v>Dienstag</v>
      </c>
      <c r="F152" s="39" t="str">
        <f t="shared" si="7"/>
        <v/>
      </c>
    </row>
    <row r="153" spans="1:7" s="20" customFormat="1" x14ac:dyDescent="0.3">
      <c r="A153" s="57"/>
      <c r="B153" s="32">
        <v>44713</v>
      </c>
      <c r="C153" s="33" t="str">
        <f t="shared" si="6"/>
        <v>Mittwoch</v>
      </c>
      <c r="F153" s="39" t="str">
        <f t="shared" si="7"/>
        <v/>
      </c>
    </row>
    <row r="154" spans="1:7" s="20" customFormat="1" x14ac:dyDescent="0.3">
      <c r="A154" s="57"/>
      <c r="B154" s="32">
        <v>44714</v>
      </c>
      <c r="C154" s="33" t="str">
        <f t="shared" si="6"/>
        <v>Donnerstag</v>
      </c>
      <c r="F154" s="39" t="str">
        <f t="shared" si="7"/>
        <v/>
      </c>
    </row>
    <row r="155" spans="1:7" s="20" customFormat="1" x14ac:dyDescent="0.3">
      <c r="A155" s="57"/>
      <c r="B155" s="32">
        <v>44715</v>
      </c>
      <c r="C155" s="33" t="str">
        <f t="shared" si="6"/>
        <v>Freitag</v>
      </c>
      <c r="F155" s="39" t="str">
        <f t="shared" si="7"/>
        <v/>
      </c>
    </row>
    <row r="156" spans="1:7" s="44" customFormat="1" x14ac:dyDescent="0.3">
      <c r="A156" s="57"/>
      <c r="B156" s="42">
        <v>44716</v>
      </c>
      <c r="C156" s="43" t="str">
        <f t="shared" si="6"/>
        <v>Samstag</v>
      </c>
      <c r="E156" s="44" t="s">
        <v>83</v>
      </c>
      <c r="F156" s="45">
        <f>SUM(F151:F155)</f>
        <v>0</v>
      </c>
      <c r="G156" s="44">
        <f>SUM(G151:G155)</f>
        <v>0</v>
      </c>
    </row>
    <row r="157" spans="1:7" s="36" customFormat="1" x14ac:dyDescent="0.3">
      <c r="A157" s="58"/>
      <c r="B157" s="34">
        <v>44717</v>
      </c>
      <c r="C157" s="35" t="str">
        <f t="shared" si="6"/>
        <v>Sonntag</v>
      </c>
      <c r="F157" s="41" t="str">
        <f t="shared" si="7"/>
        <v/>
      </c>
    </row>
    <row r="158" spans="1:7" s="20" customFormat="1" x14ac:dyDescent="0.3">
      <c r="A158" s="59">
        <f t="shared" si="8"/>
        <v>23</v>
      </c>
      <c r="B158" s="32">
        <v>44718</v>
      </c>
      <c r="C158" s="33" t="str">
        <f t="shared" si="6"/>
        <v>Montag</v>
      </c>
      <c r="F158" s="39" t="str">
        <f t="shared" si="7"/>
        <v/>
      </c>
    </row>
    <row r="159" spans="1:7" s="20" customFormat="1" x14ac:dyDescent="0.3">
      <c r="A159" s="59"/>
      <c r="B159" s="32">
        <v>44719</v>
      </c>
      <c r="C159" s="33" t="str">
        <f t="shared" si="6"/>
        <v>Dienstag</v>
      </c>
      <c r="F159" s="39" t="str">
        <f t="shared" si="7"/>
        <v/>
      </c>
    </row>
    <row r="160" spans="1:7" s="20" customFormat="1" x14ac:dyDescent="0.3">
      <c r="A160" s="59"/>
      <c r="B160" s="32">
        <v>44720</v>
      </c>
      <c r="C160" s="33" t="str">
        <f t="shared" si="6"/>
        <v>Mittwoch</v>
      </c>
      <c r="F160" s="39" t="str">
        <f t="shared" si="7"/>
        <v/>
      </c>
    </row>
    <row r="161" spans="1:7" s="20" customFormat="1" x14ac:dyDescent="0.3">
      <c r="A161" s="59"/>
      <c r="B161" s="32">
        <v>44721</v>
      </c>
      <c r="C161" s="33" t="str">
        <f t="shared" si="6"/>
        <v>Donnerstag</v>
      </c>
      <c r="F161" s="39" t="str">
        <f t="shared" si="7"/>
        <v/>
      </c>
    </row>
    <row r="162" spans="1:7" s="20" customFormat="1" x14ac:dyDescent="0.3">
      <c r="A162" s="59"/>
      <c r="B162" s="32">
        <v>44722</v>
      </c>
      <c r="C162" s="33" t="str">
        <f t="shared" si="6"/>
        <v>Freitag</v>
      </c>
      <c r="F162" s="39" t="str">
        <f t="shared" si="7"/>
        <v/>
      </c>
    </row>
    <row r="163" spans="1:7" s="44" customFormat="1" x14ac:dyDescent="0.3">
      <c r="A163" s="59"/>
      <c r="B163" s="42">
        <v>44723</v>
      </c>
      <c r="C163" s="43" t="str">
        <f t="shared" si="6"/>
        <v>Samstag</v>
      </c>
      <c r="E163" s="44" t="s">
        <v>84</v>
      </c>
      <c r="F163" s="45">
        <f>SUM(F158:F162)</f>
        <v>0</v>
      </c>
      <c r="G163" s="44">
        <f>SUM(G158:G162)</f>
        <v>0</v>
      </c>
    </row>
    <row r="164" spans="1:7" s="36" customFormat="1" x14ac:dyDescent="0.3">
      <c r="A164" s="59"/>
      <c r="B164" s="34">
        <v>44724</v>
      </c>
      <c r="C164" s="35" t="str">
        <f t="shared" si="6"/>
        <v>Sonntag</v>
      </c>
      <c r="F164" s="41" t="str">
        <f t="shared" si="7"/>
        <v/>
      </c>
    </row>
    <row r="165" spans="1:7" s="20" customFormat="1" x14ac:dyDescent="0.3">
      <c r="A165" s="56">
        <f t="shared" si="8"/>
        <v>24</v>
      </c>
      <c r="B165" s="32">
        <v>44725</v>
      </c>
      <c r="C165" s="33" t="str">
        <f t="shared" si="6"/>
        <v>Montag</v>
      </c>
      <c r="F165" s="39" t="str">
        <f t="shared" si="7"/>
        <v/>
      </c>
    </row>
    <row r="166" spans="1:7" s="20" customFormat="1" x14ac:dyDescent="0.3">
      <c r="A166" s="57"/>
      <c r="B166" s="32">
        <v>44726</v>
      </c>
      <c r="C166" s="33" t="str">
        <f t="shared" si="6"/>
        <v>Dienstag</v>
      </c>
      <c r="F166" s="39" t="str">
        <f t="shared" si="7"/>
        <v/>
      </c>
    </row>
    <row r="167" spans="1:7" s="20" customFormat="1" x14ac:dyDescent="0.3">
      <c r="A167" s="57"/>
      <c r="B167" s="32">
        <v>44727</v>
      </c>
      <c r="C167" s="33" t="str">
        <f t="shared" si="6"/>
        <v>Mittwoch</v>
      </c>
      <c r="F167" s="39" t="str">
        <f t="shared" si="7"/>
        <v/>
      </c>
    </row>
    <row r="168" spans="1:7" s="20" customFormat="1" x14ac:dyDescent="0.3">
      <c r="A168" s="57"/>
      <c r="B168" s="32">
        <v>44728</v>
      </c>
      <c r="C168" s="33" t="str">
        <f t="shared" si="6"/>
        <v>Donnerstag</v>
      </c>
      <c r="F168" s="39" t="str">
        <f t="shared" si="7"/>
        <v/>
      </c>
    </row>
    <row r="169" spans="1:7" s="20" customFormat="1" x14ac:dyDescent="0.3">
      <c r="A169" s="57"/>
      <c r="B169" s="32">
        <v>44729</v>
      </c>
      <c r="C169" s="33" t="str">
        <f t="shared" si="6"/>
        <v>Freitag</v>
      </c>
      <c r="F169" s="39" t="str">
        <f t="shared" si="7"/>
        <v/>
      </c>
    </row>
    <row r="170" spans="1:7" s="44" customFormat="1" x14ac:dyDescent="0.3">
      <c r="A170" s="57"/>
      <c r="B170" s="42">
        <v>44730</v>
      </c>
      <c r="C170" s="43" t="str">
        <f t="shared" si="6"/>
        <v>Samstag</v>
      </c>
      <c r="E170" s="44" t="s">
        <v>85</v>
      </c>
      <c r="F170" s="45">
        <f>SUM(F165:F169)</f>
        <v>0</v>
      </c>
      <c r="G170" s="44">
        <f>SUM(G165:G169)</f>
        <v>0</v>
      </c>
    </row>
    <row r="171" spans="1:7" s="36" customFormat="1" x14ac:dyDescent="0.3">
      <c r="A171" s="58"/>
      <c r="B171" s="34">
        <v>44731</v>
      </c>
      <c r="C171" s="35" t="str">
        <f t="shared" si="6"/>
        <v>Sonntag</v>
      </c>
      <c r="F171" s="41" t="str">
        <f t="shared" si="7"/>
        <v/>
      </c>
    </row>
    <row r="172" spans="1:7" s="20" customFormat="1" x14ac:dyDescent="0.3">
      <c r="A172" s="59">
        <f t="shared" si="8"/>
        <v>25</v>
      </c>
      <c r="B172" s="32">
        <v>44732</v>
      </c>
      <c r="C172" s="33" t="str">
        <f t="shared" si="6"/>
        <v>Montag</v>
      </c>
      <c r="F172" s="39" t="str">
        <f t="shared" si="7"/>
        <v/>
      </c>
    </row>
    <row r="173" spans="1:7" s="20" customFormat="1" x14ac:dyDescent="0.3">
      <c r="A173" s="59"/>
      <c r="B173" s="32">
        <v>44733</v>
      </c>
      <c r="C173" s="33" t="str">
        <f t="shared" si="6"/>
        <v>Dienstag</v>
      </c>
      <c r="F173" s="39" t="str">
        <f t="shared" si="7"/>
        <v/>
      </c>
    </row>
    <row r="174" spans="1:7" s="20" customFormat="1" x14ac:dyDescent="0.3">
      <c r="A174" s="59"/>
      <c r="B174" s="32">
        <v>44734</v>
      </c>
      <c r="C174" s="33" t="str">
        <f t="shared" si="6"/>
        <v>Mittwoch</v>
      </c>
      <c r="F174" s="39" t="str">
        <f t="shared" si="7"/>
        <v/>
      </c>
    </row>
    <row r="175" spans="1:7" s="20" customFormat="1" x14ac:dyDescent="0.3">
      <c r="A175" s="59"/>
      <c r="B175" s="32">
        <v>44735</v>
      </c>
      <c r="C175" s="33" t="str">
        <f t="shared" si="6"/>
        <v>Donnerstag</v>
      </c>
      <c r="F175" s="39" t="str">
        <f t="shared" si="7"/>
        <v/>
      </c>
    </row>
    <row r="176" spans="1:7" s="20" customFormat="1" x14ac:dyDescent="0.3">
      <c r="A176" s="59"/>
      <c r="B176" s="32">
        <v>44736</v>
      </c>
      <c r="C176" s="33" t="str">
        <f t="shared" si="6"/>
        <v>Freitag</v>
      </c>
      <c r="F176" s="39" t="str">
        <f t="shared" si="7"/>
        <v/>
      </c>
    </row>
    <row r="177" spans="1:7" s="44" customFormat="1" x14ac:dyDescent="0.3">
      <c r="A177" s="59"/>
      <c r="B177" s="42">
        <v>44737</v>
      </c>
      <c r="C177" s="43" t="str">
        <f t="shared" si="6"/>
        <v>Samstag</v>
      </c>
      <c r="E177" s="44" t="s">
        <v>86</v>
      </c>
      <c r="F177" s="45">
        <f>SUM(F172:F176)</f>
        <v>0</v>
      </c>
      <c r="G177" s="44">
        <f>SUM(G172:G176)</f>
        <v>0</v>
      </c>
    </row>
    <row r="178" spans="1:7" s="36" customFormat="1" x14ac:dyDescent="0.3">
      <c r="A178" s="59"/>
      <c r="B178" s="34">
        <v>44738</v>
      </c>
      <c r="C178" s="35" t="str">
        <f t="shared" si="6"/>
        <v>Sonntag</v>
      </c>
      <c r="F178" s="41" t="str">
        <f t="shared" si="7"/>
        <v/>
      </c>
    </row>
    <row r="179" spans="1:7" s="20" customFormat="1" x14ac:dyDescent="0.3">
      <c r="A179" s="56">
        <f t="shared" si="8"/>
        <v>26</v>
      </c>
      <c r="B179" s="32">
        <v>44739</v>
      </c>
      <c r="C179" s="33" t="str">
        <f t="shared" si="6"/>
        <v>Montag</v>
      </c>
      <c r="F179" s="39" t="str">
        <f t="shared" si="7"/>
        <v/>
      </c>
    </row>
    <row r="180" spans="1:7" s="20" customFormat="1" x14ac:dyDescent="0.3">
      <c r="A180" s="57"/>
      <c r="B180" s="32">
        <v>44740</v>
      </c>
      <c r="C180" s="33" t="str">
        <f t="shared" si="6"/>
        <v>Dienstag</v>
      </c>
      <c r="F180" s="39" t="str">
        <f t="shared" si="7"/>
        <v/>
      </c>
    </row>
    <row r="181" spans="1:7" s="20" customFormat="1" x14ac:dyDescent="0.3">
      <c r="A181" s="57"/>
      <c r="B181" s="32">
        <v>44741</v>
      </c>
      <c r="C181" s="33" t="str">
        <f t="shared" si="6"/>
        <v>Mittwoch</v>
      </c>
      <c r="F181" s="39" t="str">
        <f t="shared" si="7"/>
        <v/>
      </c>
    </row>
    <row r="182" spans="1:7" s="20" customFormat="1" x14ac:dyDescent="0.3">
      <c r="A182" s="57"/>
      <c r="B182" s="32">
        <v>44742</v>
      </c>
      <c r="C182" s="33" t="str">
        <f t="shared" si="6"/>
        <v>Donnerstag</v>
      </c>
      <c r="F182" s="39" t="str">
        <f t="shared" si="7"/>
        <v/>
      </c>
    </row>
    <row r="183" spans="1:7" s="20" customFormat="1" x14ac:dyDescent="0.3">
      <c r="A183" s="57"/>
      <c r="B183" s="32">
        <v>44743</v>
      </c>
      <c r="C183" s="33" t="str">
        <f t="shared" si="6"/>
        <v>Freitag</v>
      </c>
      <c r="F183" s="39" t="str">
        <f t="shared" si="7"/>
        <v/>
      </c>
    </row>
    <row r="184" spans="1:7" s="44" customFormat="1" x14ac:dyDescent="0.3">
      <c r="A184" s="57"/>
      <c r="B184" s="42">
        <v>44744</v>
      </c>
      <c r="C184" s="43" t="str">
        <f t="shared" si="6"/>
        <v>Samstag</v>
      </c>
      <c r="E184" s="44" t="s">
        <v>87</v>
      </c>
      <c r="F184" s="45">
        <f>SUM(F179:F183)</f>
        <v>0</v>
      </c>
      <c r="G184" s="44">
        <f>SUM(G179:G183)</f>
        <v>0</v>
      </c>
    </row>
    <row r="185" spans="1:7" s="36" customFormat="1" x14ac:dyDescent="0.3">
      <c r="A185" s="58"/>
      <c r="B185" s="34">
        <v>44745</v>
      </c>
      <c r="C185" s="35" t="str">
        <f t="shared" si="6"/>
        <v>Sonntag</v>
      </c>
      <c r="F185" s="41" t="str">
        <f t="shared" si="7"/>
        <v/>
      </c>
    </row>
    <row r="186" spans="1:7" s="20" customFormat="1" x14ac:dyDescent="0.3">
      <c r="A186" s="59">
        <f t="shared" si="8"/>
        <v>27</v>
      </c>
      <c r="B186" s="32">
        <v>44746</v>
      </c>
      <c r="C186" s="33" t="str">
        <f t="shared" si="6"/>
        <v>Montag</v>
      </c>
      <c r="F186" s="39" t="str">
        <f t="shared" si="7"/>
        <v/>
      </c>
    </row>
    <row r="187" spans="1:7" s="20" customFormat="1" x14ac:dyDescent="0.3">
      <c r="A187" s="59"/>
      <c r="B187" s="32">
        <v>44747</v>
      </c>
      <c r="C187" s="33" t="str">
        <f t="shared" si="6"/>
        <v>Dienstag</v>
      </c>
      <c r="F187" s="39" t="str">
        <f t="shared" si="7"/>
        <v/>
      </c>
    </row>
    <row r="188" spans="1:7" s="20" customFormat="1" x14ac:dyDescent="0.3">
      <c r="A188" s="59"/>
      <c r="B188" s="32">
        <v>44748</v>
      </c>
      <c r="C188" s="33" t="str">
        <f t="shared" si="6"/>
        <v>Mittwoch</v>
      </c>
      <c r="F188" s="39" t="str">
        <f t="shared" si="7"/>
        <v/>
      </c>
    </row>
    <row r="189" spans="1:7" s="20" customFormat="1" x14ac:dyDescent="0.3">
      <c r="A189" s="59"/>
      <c r="B189" s="32">
        <v>44749</v>
      </c>
      <c r="C189" s="33" t="str">
        <f t="shared" si="6"/>
        <v>Donnerstag</v>
      </c>
      <c r="F189" s="39" t="str">
        <f t="shared" si="7"/>
        <v/>
      </c>
    </row>
    <row r="190" spans="1:7" s="20" customFormat="1" x14ac:dyDescent="0.3">
      <c r="A190" s="59"/>
      <c r="B190" s="32">
        <v>44750</v>
      </c>
      <c r="C190" s="33" t="str">
        <f t="shared" si="6"/>
        <v>Freitag</v>
      </c>
      <c r="F190" s="39" t="str">
        <f t="shared" si="7"/>
        <v/>
      </c>
    </row>
    <row r="191" spans="1:7" s="44" customFormat="1" x14ac:dyDescent="0.3">
      <c r="A191" s="59"/>
      <c r="B191" s="42">
        <v>44751</v>
      </c>
      <c r="C191" s="43" t="str">
        <f t="shared" si="6"/>
        <v>Samstag</v>
      </c>
      <c r="E191" s="44" t="s">
        <v>88</v>
      </c>
      <c r="F191" s="45">
        <f>SUM(F186:F190)</f>
        <v>0</v>
      </c>
      <c r="G191" s="44">
        <f>SUM(G186:G190)</f>
        <v>0</v>
      </c>
    </row>
    <row r="192" spans="1:7" s="36" customFormat="1" x14ac:dyDescent="0.3">
      <c r="A192" s="59"/>
      <c r="B192" s="34">
        <v>44752</v>
      </c>
      <c r="C192" s="35" t="str">
        <f t="shared" si="6"/>
        <v>Sonntag</v>
      </c>
      <c r="F192" s="41" t="str">
        <f t="shared" si="7"/>
        <v/>
      </c>
    </row>
    <row r="193" spans="1:7" s="20" customFormat="1" x14ac:dyDescent="0.3">
      <c r="A193" s="56">
        <f t="shared" si="8"/>
        <v>28</v>
      </c>
      <c r="B193" s="32">
        <v>44753</v>
      </c>
      <c r="C193" s="33" t="str">
        <f t="shared" si="6"/>
        <v>Montag</v>
      </c>
      <c r="F193" s="39" t="str">
        <f t="shared" si="7"/>
        <v/>
      </c>
    </row>
    <row r="194" spans="1:7" s="20" customFormat="1" x14ac:dyDescent="0.3">
      <c r="A194" s="57"/>
      <c r="B194" s="32">
        <v>44754</v>
      </c>
      <c r="C194" s="33" t="str">
        <f t="shared" si="6"/>
        <v>Dienstag</v>
      </c>
      <c r="F194" s="39" t="str">
        <f t="shared" si="7"/>
        <v/>
      </c>
    </row>
    <row r="195" spans="1:7" s="20" customFormat="1" x14ac:dyDescent="0.3">
      <c r="A195" s="57"/>
      <c r="B195" s="32">
        <v>44755</v>
      </c>
      <c r="C195" s="33" t="str">
        <f t="shared" ref="C195:C258" si="9">IF(WEEKDAY(B195,2)=1,"Montag",IF(WEEKDAY(B195,2)=2,"Dienstag",IF(WEEKDAY(B195,2)=3,"Mittwoch",IF(WEEKDAY(B195,2)=4,"Donnerstag",IF(WEEKDAY(B195,2)=5,"Freitag",IF(WEEKDAY(B195,2)=6,"Samstag",IF(WEEKDAY(B195,2)=7,"Sonntag","")))))))</f>
        <v>Mittwoch</v>
      </c>
      <c r="F195" s="39" t="str">
        <f t="shared" ref="F195:F258" si="10">IF(D195="","",E195-D195)</f>
        <v/>
      </c>
    </row>
    <row r="196" spans="1:7" s="20" customFormat="1" x14ac:dyDescent="0.3">
      <c r="A196" s="57"/>
      <c r="B196" s="32">
        <v>44756</v>
      </c>
      <c r="C196" s="33" t="str">
        <f t="shared" si="9"/>
        <v>Donnerstag</v>
      </c>
      <c r="F196" s="39" t="str">
        <f t="shared" si="10"/>
        <v/>
      </c>
    </row>
    <row r="197" spans="1:7" s="20" customFormat="1" x14ac:dyDescent="0.3">
      <c r="A197" s="57"/>
      <c r="B197" s="32">
        <v>44757</v>
      </c>
      <c r="C197" s="33" t="str">
        <f t="shared" si="9"/>
        <v>Freitag</v>
      </c>
      <c r="F197" s="39" t="str">
        <f t="shared" si="10"/>
        <v/>
      </c>
    </row>
    <row r="198" spans="1:7" s="44" customFormat="1" x14ac:dyDescent="0.3">
      <c r="A198" s="57"/>
      <c r="B198" s="42">
        <v>44758</v>
      </c>
      <c r="C198" s="43" t="str">
        <f t="shared" si="9"/>
        <v>Samstag</v>
      </c>
      <c r="E198" s="44" t="s">
        <v>89</v>
      </c>
      <c r="F198" s="45">
        <f>SUM(F193:F197)</f>
        <v>0</v>
      </c>
      <c r="G198" s="44">
        <f>SUM(G193:G197)</f>
        <v>0</v>
      </c>
    </row>
    <row r="199" spans="1:7" s="36" customFormat="1" x14ac:dyDescent="0.3">
      <c r="A199" s="58"/>
      <c r="B199" s="34">
        <v>44759</v>
      </c>
      <c r="C199" s="35" t="str">
        <f t="shared" si="9"/>
        <v>Sonntag</v>
      </c>
      <c r="F199" s="41" t="str">
        <f t="shared" si="10"/>
        <v/>
      </c>
    </row>
    <row r="200" spans="1:7" s="20" customFormat="1" x14ac:dyDescent="0.3">
      <c r="A200" s="59">
        <f t="shared" ref="A200:A256" si="11">WEEKNUM(B200,21)</f>
        <v>29</v>
      </c>
      <c r="B200" s="32">
        <v>44760</v>
      </c>
      <c r="C200" s="33" t="str">
        <f t="shared" si="9"/>
        <v>Montag</v>
      </c>
      <c r="F200" s="39" t="str">
        <f t="shared" si="10"/>
        <v/>
      </c>
    </row>
    <row r="201" spans="1:7" s="20" customFormat="1" x14ac:dyDescent="0.3">
      <c r="A201" s="59"/>
      <c r="B201" s="32">
        <v>44761</v>
      </c>
      <c r="C201" s="33" t="str">
        <f t="shared" si="9"/>
        <v>Dienstag</v>
      </c>
      <c r="F201" s="39" t="str">
        <f t="shared" si="10"/>
        <v/>
      </c>
    </row>
    <row r="202" spans="1:7" s="20" customFormat="1" x14ac:dyDescent="0.3">
      <c r="A202" s="59"/>
      <c r="B202" s="32">
        <v>44762</v>
      </c>
      <c r="C202" s="33" t="str">
        <f t="shared" si="9"/>
        <v>Mittwoch</v>
      </c>
      <c r="F202" s="39" t="str">
        <f t="shared" si="10"/>
        <v/>
      </c>
    </row>
    <row r="203" spans="1:7" s="20" customFormat="1" x14ac:dyDescent="0.3">
      <c r="A203" s="59"/>
      <c r="B203" s="32">
        <v>44763</v>
      </c>
      <c r="C203" s="33" t="str">
        <f t="shared" si="9"/>
        <v>Donnerstag</v>
      </c>
      <c r="F203" s="39" t="str">
        <f t="shared" si="10"/>
        <v/>
      </c>
    </row>
    <row r="204" spans="1:7" s="20" customFormat="1" x14ac:dyDescent="0.3">
      <c r="A204" s="59"/>
      <c r="B204" s="32">
        <v>44764</v>
      </c>
      <c r="C204" s="33" t="str">
        <f t="shared" si="9"/>
        <v>Freitag</v>
      </c>
      <c r="F204" s="39" t="str">
        <f t="shared" si="10"/>
        <v/>
      </c>
    </row>
    <row r="205" spans="1:7" s="44" customFormat="1" x14ac:dyDescent="0.3">
      <c r="A205" s="59"/>
      <c r="B205" s="42">
        <v>44765</v>
      </c>
      <c r="C205" s="43" t="str">
        <f t="shared" si="9"/>
        <v>Samstag</v>
      </c>
      <c r="E205" s="44" t="s">
        <v>90</v>
      </c>
      <c r="F205" s="45">
        <f>SUM(F200:F204)</f>
        <v>0</v>
      </c>
      <c r="G205" s="44">
        <f>SUM(G200:G204)</f>
        <v>0</v>
      </c>
    </row>
    <row r="206" spans="1:7" s="36" customFormat="1" x14ac:dyDescent="0.3">
      <c r="A206" s="59"/>
      <c r="B206" s="34">
        <v>44766</v>
      </c>
      <c r="C206" s="35" t="str">
        <f t="shared" si="9"/>
        <v>Sonntag</v>
      </c>
      <c r="F206" s="41" t="str">
        <f t="shared" si="10"/>
        <v/>
      </c>
    </row>
    <row r="207" spans="1:7" s="20" customFormat="1" x14ac:dyDescent="0.3">
      <c r="A207" s="56">
        <f t="shared" si="11"/>
        <v>30</v>
      </c>
      <c r="B207" s="32">
        <v>44767</v>
      </c>
      <c r="C207" s="33" t="str">
        <f t="shared" si="9"/>
        <v>Montag</v>
      </c>
      <c r="F207" s="39" t="str">
        <f t="shared" si="10"/>
        <v/>
      </c>
    </row>
    <row r="208" spans="1:7" s="20" customFormat="1" x14ac:dyDescent="0.3">
      <c r="A208" s="57"/>
      <c r="B208" s="32">
        <v>44768</v>
      </c>
      <c r="C208" s="33" t="str">
        <f t="shared" si="9"/>
        <v>Dienstag</v>
      </c>
      <c r="F208" s="39" t="str">
        <f t="shared" si="10"/>
        <v/>
      </c>
    </row>
    <row r="209" spans="1:7" s="20" customFormat="1" x14ac:dyDescent="0.3">
      <c r="A209" s="57"/>
      <c r="B209" s="32">
        <v>44769</v>
      </c>
      <c r="C209" s="33" t="str">
        <f t="shared" si="9"/>
        <v>Mittwoch</v>
      </c>
      <c r="F209" s="39" t="str">
        <f t="shared" si="10"/>
        <v/>
      </c>
    </row>
    <row r="210" spans="1:7" s="20" customFormat="1" x14ac:dyDescent="0.3">
      <c r="A210" s="57"/>
      <c r="B210" s="32">
        <v>44770</v>
      </c>
      <c r="C210" s="33" t="str">
        <f t="shared" si="9"/>
        <v>Donnerstag</v>
      </c>
      <c r="F210" s="39" t="str">
        <f t="shared" si="10"/>
        <v/>
      </c>
    </row>
    <row r="211" spans="1:7" s="20" customFormat="1" x14ac:dyDescent="0.3">
      <c r="A211" s="57"/>
      <c r="B211" s="32">
        <v>44771</v>
      </c>
      <c r="C211" s="33" t="str">
        <f t="shared" si="9"/>
        <v>Freitag</v>
      </c>
      <c r="F211" s="39" t="str">
        <f t="shared" si="10"/>
        <v/>
      </c>
    </row>
    <row r="212" spans="1:7" s="44" customFormat="1" x14ac:dyDescent="0.3">
      <c r="A212" s="57"/>
      <c r="B212" s="42">
        <v>44772</v>
      </c>
      <c r="C212" s="43" t="str">
        <f t="shared" si="9"/>
        <v>Samstag</v>
      </c>
      <c r="E212" s="44" t="s">
        <v>91</v>
      </c>
      <c r="F212" s="45">
        <f>SUM(F207:F211)</f>
        <v>0</v>
      </c>
      <c r="G212" s="44">
        <f>SUM(G207:G211)</f>
        <v>0</v>
      </c>
    </row>
    <row r="213" spans="1:7" s="36" customFormat="1" x14ac:dyDescent="0.3">
      <c r="A213" s="58"/>
      <c r="B213" s="34">
        <v>44773</v>
      </c>
      <c r="C213" s="35" t="str">
        <f t="shared" si="9"/>
        <v>Sonntag</v>
      </c>
      <c r="F213" s="41" t="str">
        <f t="shared" si="10"/>
        <v/>
      </c>
    </row>
    <row r="214" spans="1:7" s="20" customFormat="1" x14ac:dyDescent="0.3">
      <c r="A214" s="59">
        <f t="shared" si="11"/>
        <v>31</v>
      </c>
      <c r="B214" s="32">
        <v>44774</v>
      </c>
      <c r="C214" s="33" t="str">
        <f t="shared" si="9"/>
        <v>Montag</v>
      </c>
      <c r="F214" s="39" t="str">
        <f t="shared" si="10"/>
        <v/>
      </c>
    </row>
    <row r="215" spans="1:7" s="20" customFormat="1" x14ac:dyDescent="0.3">
      <c r="A215" s="59"/>
      <c r="B215" s="32">
        <v>44775</v>
      </c>
      <c r="C215" s="33" t="str">
        <f t="shared" si="9"/>
        <v>Dienstag</v>
      </c>
      <c r="F215" s="39" t="str">
        <f t="shared" si="10"/>
        <v/>
      </c>
    </row>
    <row r="216" spans="1:7" s="20" customFormat="1" x14ac:dyDescent="0.3">
      <c r="A216" s="59"/>
      <c r="B216" s="32">
        <v>44776</v>
      </c>
      <c r="C216" s="33" t="str">
        <f t="shared" si="9"/>
        <v>Mittwoch</v>
      </c>
      <c r="F216" s="39" t="str">
        <f t="shared" si="10"/>
        <v/>
      </c>
    </row>
    <row r="217" spans="1:7" s="20" customFormat="1" x14ac:dyDescent="0.3">
      <c r="A217" s="59"/>
      <c r="B217" s="32">
        <v>44777</v>
      </c>
      <c r="C217" s="33" t="str">
        <f t="shared" si="9"/>
        <v>Donnerstag</v>
      </c>
      <c r="F217" s="39" t="str">
        <f t="shared" si="10"/>
        <v/>
      </c>
    </row>
    <row r="218" spans="1:7" s="20" customFormat="1" x14ac:dyDescent="0.3">
      <c r="A218" s="59"/>
      <c r="B218" s="32">
        <v>44778</v>
      </c>
      <c r="C218" s="33" t="str">
        <f t="shared" si="9"/>
        <v>Freitag</v>
      </c>
      <c r="F218" s="39" t="str">
        <f t="shared" si="10"/>
        <v/>
      </c>
    </row>
    <row r="219" spans="1:7" s="44" customFormat="1" x14ac:dyDescent="0.3">
      <c r="A219" s="59"/>
      <c r="B219" s="42">
        <v>44779</v>
      </c>
      <c r="C219" s="43" t="str">
        <f t="shared" si="9"/>
        <v>Samstag</v>
      </c>
      <c r="E219" s="44" t="s">
        <v>92</v>
      </c>
      <c r="F219" s="45">
        <f>SUM(F214:F218)</f>
        <v>0</v>
      </c>
      <c r="G219" s="44">
        <f>SUM(G214:G218)</f>
        <v>0</v>
      </c>
    </row>
    <row r="220" spans="1:7" s="36" customFormat="1" x14ac:dyDescent="0.3">
      <c r="A220" s="59"/>
      <c r="B220" s="34">
        <v>44780</v>
      </c>
      <c r="C220" s="35" t="str">
        <f t="shared" si="9"/>
        <v>Sonntag</v>
      </c>
      <c r="F220" s="41" t="str">
        <f t="shared" si="10"/>
        <v/>
      </c>
    </row>
    <row r="221" spans="1:7" s="20" customFormat="1" x14ac:dyDescent="0.3">
      <c r="A221" s="56">
        <f t="shared" si="11"/>
        <v>32</v>
      </c>
      <c r="B221" s="32">
        <v>44781</v>
      </c>
      <c r="C221" s="33" t="str">
        <f t="shared" si="9"/>
        <v>Montag</v>
      </c>
      <c r="F221" s="39" t="str">
        <f t="shared" si="10"/>
        <v/>
      </c>
    </row>
    <row r="222" spans="1:7" s="20" customFormat="1" x14ac:dyDescent="0.3">
      <c r="A222" s="57"/>
      <c r="B222" s="32">
        <v>44782</v>
      </c>
      <c r="C222" s="33" t="str">
        <f t="shared" si="9"/>
        <v>Dienstag</v>
      </c>
      <c r="F222" s="39" t="str">
        <f t="shared" si="10"/>
        <v/>
      </c>
    </row>
    <row r="223" spans="1:7" s="20" customFormat="1" x14ac:dyDescent="0.3">
      <c r="A223" s="57"/>
      <c r="B223" s="32">
        <v>44783</v>
      </c>
      <c r="C223" s="33" t="str">
        <f t="shared" si="9"/>
        <v>Mittwoch</v>
      </c>
      <c r="F223" s="39" t="str">
        <f t="shared" si="10"/>
        <v/>
      </c>
    </row>
    <row r="224" spans="1:7" s="20" customFormat="1" x14ac:dyDescent="0.3">
      <c r="A224" s="57"/>
      <c r="B224" s="32">
        <v>44784</v>
      </c>
      <c r="C224" s="33" t="str">
        <f t="shared" si="9"/>
        <v>Donnerstag</v>
      </c>
      <c r="F224" s="39" t="str">
        <f t="shared" si="10"/>
        <v/>
      </c>
    </row>
    <row r="225" spans="1:7" s="20" customFormat="1" x14ac:dyDescent="0.3">
      <c r="A225" s="57"/>
      <c r="B225" s="32">
        <v>44785</v>
      </c>
      <c r="C225" s="33" t="str">
        <f t="shared" si="9"/>
        <v>Freitag</v>
      </c>
      <c r="F225" s="39" t="str">
        <f t="shared" si="10"/>
        <v/>
      </c>
    </row>
    <row r="226" spans="1:7" s="44" customFormat="1" x14ac:dyDescent="0.3">
      <c r="A226" s="57"/>
      <c r="B226" s="42">
        <v>44786</v>
      </c>
      <c r="C226" s="43" t="str">
        <f t="shared" si="9"/>
        <v>Samstag</v>
      </c>
      <c r="E226" s="44" t="s">
        <v>93</v>
      </c>
      <c r="F226" s="45">
        <f>SUM(F221:F225)</f>
        <v>0</v>
      </c>
      <c r="G226" s="44">
        <f>SUM(G221:G225)</f>
        <v>0</v>
      </c>
    </row>
    <row r="227" spans="1:7" s="36" customFormat="1" x14ac:dyDescent="0.3">
      <c r="A227" s="58"/>
      <c r="B227" s="34">
        <v>44787</v>
      </c>
      <c r="C227" s="35" t="str">
        <f t="shared" si="9"/>
        <v>Sonntag</v>
      </c>
      <c r="F227" s="41" t="str">
        <f t="shared" si="10"/>
        <v/>
      </c>
    </row>
    <row r="228" spans="1:7" s="20" customFormat="1" x14ac:dyDescent="0.3">
      <c r="A228" s="59">
        <f t="shared" si="11"/>
        <v>33</v>
      </c>
      <c r="B228" s="32">
        <v>44788</v>
      </c>
      <c r="C228" s="33" t="str">
        <f t="shared" si="9"/>
        <v>Montag</v>
      </c>
      <c r="F228" s="39" t="str">
        <f t="shared" si="10"/>
        <v/>
      </c>
    </row>
    <row r="229" spans="1:7" s="20" customFormat="1" x14ac:dyDescent="0.3">
      <c r="A229" s="59"/>
      <c r="B229" s="32">
        <v>44789</v>
      </c>
      <c r="C229" s="33" t="str">
        <f t="shared" si="9"/>
        <v>Dienstag</v>
      </c>
      <c r="F229" s="39" t="str">
        <f t="shared" si="10"/>
        <v/>
      </c>
    </row>
    <row r="230" spans="1:7" s="20" customFormat="1" x14ac:dyDescent="0.3">
      <c r="A230" s="59"/>
      <c r="B230" s="32">
        <v>44790</v>
      </c>
      <c r="C230" s="33" t="str">
        <f t="shared" si="9"/>
        <v>Mittwoch</v>
      </c>
      <c r="F230" s="39" t="str">
        <f t="shared" si="10"/>
        <v/>
      </c>
    </row>
    <row r="231" spans="1:7" s="20" customFormat="1" x14ac:dyDescent="0.3">
      <c r="A231" s="59"/>
      <c r="B231" s="32">
        <v>44791</v>
      </c>
      <c r="C231" s="33" t="str">
        <f t="shared" si="9"/>
        <v>Donnerstag</v>
      </c>
      <c r="F231" s="39" t="str">
        <f t="shared" si="10"/>
        <v/>
      </c>
    </row>
    <row r="232" spans="1:7" s="20" customFormat="1" x14ac:dyDescent="0.3">
      <c r="A232" s="59"/>
      <c r="B232" s="32">
        <v>44792</v>
      </c>
      <c r="C232" s="33" t="str">
        <f t="shared" si="9"/>
        <v>Freitag</v>
      </c>
      <c r="F232" s="39" t="str">
        <f t="shared" si="10"/>
        <v/>
      </c>
    </row>
    <row r="233" spans="1:7" s="44" customFormat="1" x14ac:dyDescent="0.3">
      <c r="A233" s="59"/>
      <c r="B233" s="42">
        <v>44793</v>
      </c>
      <c r="C233" s="43" t="str">
        <f t="shared" si="9"/>
        <v>Samstag</v>
      </c>
      <c r="E233" s="44" t="s">
        <v>94</v>
      </c>
      <c r="F233" s="45">
        <f>SUM(F228:F232)</f>
        <v>0</v>
      </c>
      <c r="G233" s="44">
        <f>SUM(G228:G232)</f>
        <v>0</v>
      </c>
    </row>
    <row r="234" spans="1:7" s="36" customFormat="1" x14ac:dyDescent="0.3">
      <c r="A234" s="59"/>
      <c r="B234" s="34">
        <v>44794</v>
      </c>
      <c r="C234" s="35" t="str">
        <f t="shared" si="9"/>
        <v>Sonntag</v>
      </c>
      <c r="F234" s="41" t="str">
        <f t="shared" si="10"/>
        <v/>
      </c>
    </row>
    <row r="235" spans="1:7" s="20" customFormat="1" x14ac:dyDescent="0.3">
      <c r="A235" s="56">
        <f t="shared" si="11"/>
        <v>34</v>
      </c>
      <c r="B235" s="32">
        <v>44795</v>
      </c>
      <c r="C235" s="33" t="str">
        <f t="shared" si="9"/>
        <v>Montag</v>
      </c>
      <c r="F235" s="39" t="str">
        <f t="shared" si="10"/>
        <v/>
      </c>
    </row>
    <row r="236" spans="1:7" s="20" customFormat="1" x14ac:dyDescent="0.3">
      <c r="A236" s="57"/>
      <c r="B236" s="32">
        <v>44796</v>
      </c>
      <c r="C236" s="33" t="str">
        <f t="shared" si="9"/>
        <v>Dienstag</v>
      </c>
      <c r="F236" s="39" t="str">
        <f t="shared" si="10"/>
        <v/>
      </c>
    </row>
    <row r="237" spans="1:7" s="20" customFormat="1" x14ac:dyDescent="0.3">
      <c r="A237" s="57"/>
      <c r="B237" s="32">
        <v>44797</v>
      </c>
      <c r="C237" s="33" t="str">
        <f t="shared" si="9"/>
        <v>Mittwoch</v>
      </c>
      <c r="F237" s="39" t="str">
        <f t="shared" si="10"/>
        <v/>
      </c>
    </row>
    <row r="238" spans="1:7" s="20" customFormat="1" x14ac:dyDescent="0.3">
      <c r="A238" s="57"/>
      <c r="B238" s="32">
        <v>44798</v>
      </c>
      <c r="C238" s="33" t="str">
        <f t="shared" si="9"/>
        <v>Donnerstag</v>
      </c>
      <c r="F238" s="39" t="str">
        <f t="shared" si="10"/>
        <v/>
      </c>
    </row>
    <row r="239" spans="1:7" s="20" customFormat="1" x14ac:dyDescent="0.3">
      <c r="A239" s="57"/>
      <c r="B239" s="32">
        <v>44799</v>
      </c>
      <c r="C239" s="33" t="str">
        <f t="shared" si="9"/>
        <v>Freitag</v>
      </c>
      <c r="F239" s="39" t="str">
        <f t="shared" si="10"/>
        <v/>
      </c>
    </row>
    <row r="240" spans="1:7" s="44" customFormat="1" x14ac:dyDescent="0.3">
      <c r="A240" s="57"/>
      <c r="B240" s="42">
        <v>44800</v>
      </c>
      <c r="C240" s="43" t="str">
        <f t="shared" si="9"/>
        <v>Samstag</v>
      </c>
      <c r="E240" s="44" t="s">
        <v>95</v>
      </c>
      <c r="F240" s="45">
        <f>SUM(F235:F239)</f>
        <v>0</v>
      </c>
      <c r="G240" s="44">
        <f>SUM(G235:G239)</f>
        <v>0</v>
      </c>
    </row>
    <row r="241" spans="1:7" s="36" customFormat="1" x14ac:dyDescent="0.3">
      <c r="A241" s="58"/>
      <c r="B241" s="34">
        <v>44801</v>
      </c>
      <c r="C241" s="35" t="str">
        <f t="shared" si="9"/>
        <v>Sonntag</v>
      </c>
      <c r="F241" s="41" t="str">
        <f t="shared" si="10"/>
        <v/>
      </c>
    </row>
    <row r="242" spans="1:7" s="20" customFormat="1" x14ac:dyDescent="0.3">
      <c r="A242" s="59">
        <f t="shared" si="11"/>
        <v>35</v>
      </c>
      <c r="B242" s="32">
        <v>44802</v>
      </c>
      <c r="C242" s="33" t="str">
        <f t="shared" si="9"/>
        <v>Montag</v>
      </c>
      <c r="F242" s="39" t="str">
        <f t="shared" si="10"/>
        <v/>
      </c>
    </row>
    <row r="243" spans="1:7" s="20" customFormat="1" x14ac:dyDescent="0.3">
      <c r="A243" s="59"/>
      <c r="B243" s="32">
        <v>44803</v>
      </c>
      <c r="C243" s="33" t="str">
        <f t="shared" si="9"/>
        <v>Dienstag</v>
      </c>
      <c r="F243" s="39" t="str">
        <f t="shared" si="10"/>
        <v/>
      </c>
    </row>
    <row r="244" spans="1:7" s="20" customFormat="1" x14ac:dyDescent="0.3">
      <c r="A244" s="59"/>
      <c r="B244" s="32">
        <v>44804</v>
      </c>
      <c r="C244" s="33" t="str">
        <f t="shared" si="9"/>
        <v>Mittwoch</v>
      </c>
      <c r="F244" s="39" t="str">
        <f t="shared" si="10"/>
        <v/>
      </c>
    </row>
    <row r="245" spans="1:7" s="20" customFormat="1" x14ac:dyDescent="0.3">
      <c r="A245" s="59"/>
      <c r="B245" s="32">
        <v>44805</v>
      </c>
      <c r="C245" s="33" t="str">
        <f t="shared" si="9"/>
        <v>Donnerstag</v>
      </c>
      <c r="F245" s="39" t="str">
        <f t="shared" si="10"/>
        <v/>
      </c>
    </row>
    <row r="246" spans="1:7" s="20" customFormat="1" x14ac:dyDescent="0.3">
      <c r="A246" s="59"/>
      <c r="B246" s="32">
        <v>44806</v>
      </c>
      <c r="C246" s="33" t="str">
        <f t="shared" si="9"/>
        <v>Freitag</v>
      </c>
      <c r="F246" s="39" t="str">
        <f t="shared" si="10"/>
        <v/>
      </c>
    </row>
    <row r="247" spans="1:7" s="44" customFormat="1" x14ac:dyDescent="0.3">
      <c r="A247" s="59"/>
      <c r="B247" s="42">
        <v>44807</v>
      </c>
      <c r="C247" s="43" t="str">
        <f t="shared" si="9"/>
        <v>Samstag</v>
      </c>
      <c r="E247" s="44" t="s">
        <v>96</v>
      </c>
      <c r="F247" s="45">
        <f>SUM(F242:F246)</f>
        <v>0</v>
      </c>
      <c r="G247" s="44">
        <f>SUM(G242:G246)</f>
        <v>0</v>
      </c>
    </row>
    <row r="248" spans="1:7" s="36" customFormat="1" x14ac:dyDescent="0.3">
      <c r="A248" s="59"/>
      <c r="B248" s="34">
        <v>44808</v>
      </c>
      <c r="C248" s="35" t="str">
        <f t="shared" si="9"/>
        <v>Sonntag</v>
      </c>
      <c r="F248" s="41" t="str">
        <f t="shared" si="10"/>
        <v/>
      </c>
    </row>
    <row r="249" spans="1:7" s="20" customFormat="1" x14ac:dyDescent="0.3">
      <c r="A249" s="56">
        <f t="shared" si="11"/>
        <v>36</v>
      </c>
      <c r="B249" s="32">
        <v>44809</v>
      </c>
      <c r="C249" s="33" t="str">
        <f t="shared" si="9"/>
        <v>Montag</v>
      </c>
      <c r="F249" s="39" t="str">
        <f t="shared" si="10"/>
        <v/>
      </c>
    </row>
    <row r="250" spans="1:7" s="20" customFormat="1" x14ac:dyDescent="0.3">
      <c r="A250" s="57"/>
      <c r="B250" s="32">
        <v>44810</v>
      </c>
      <c r="C250" s="33" t="str">
        <f t="shared" si="9"/>
        <v>Dienstag</v>
      </c>
      <c r="F250" s="39" t="str">
        <f t="shared" si="10"/>
        <v/>
      </c>
    </row>
    <row r="251" spans="1:7" s="20" customFormat="1" x14ac:dyDescent="0.3">
      <c r="A251" s="57"/>
      <c r="B251" s="32">
        <v>44811</v>
      </c>
      <c r="C251" s="33" t="str">
        <f t="shared" si="9"/>
        <v>Mittwoch</v>
      </c>
      <c r="F251" s="39" t="str">
        <f t="shared" si="10"/>
        <v/>
      </c>
    </row>
    <row r="252" spans="1:7" s="20" customFormat="1" x14ac:dyDescent="0.3">
      <c r="A252" s="57"/>
      <c r="B252" s="32">
        <v>44812</v>
      </c>
      <c r="C252" s="33" t="str">
        <f t="shared" si="9"/>
        <v>Donnerstag</v>
      </c>
      <c r="F252" s="39" t="str">
        <f t="shared" si="10"/>
        <v/>
      </c>
    </row>
    <row r="253" spans="1:7" s="20" customFormat="1" x14ac:dyDescent="0.3">
      <c r="A253" s="57"/>
      <c r="B253" s="32">
        <v>44813</v>
      </c>
      <c r="C253" s="33" t="str">
        <f t="shared" si="9"/>
        <v>Freitag</v>
      </c>
      <c r="F253" s="39" t="str">
        <f t="shared" si="10"/>
        <v/>
      </c>
    </row>
    <row r="254" spans="1:7" s="44" customFormat="1" x14ac:dyDescent="0.3">
      <c r="A254" s="57"/>
      <c r="B254" s="42">
        <v>44814</v>
      </c>
      <c r="C254" s="43" t="str">
        <f t="shared" si="9"/>
        <v>Samstag</v>
      </c>
      <c r="E254" s="44" t="s">
        <v>97</v>
      </c>
      <c r="F254" s="45">
        <f>SUM(F249:F253)</f>
        <v>0</v>
      </c>
      <c r="G254" s="44">
        <f>SUM(G249:G253)</f>
        <v>0</v>
      </c>
    </row>
    <row r="255" spans="1:7" s="36" customFormat="1" x14ac:dyDescent="0.3">
      <c r="A255" s="58"/>
      <c r="B255" s="34">
        <v>44815</v>
      </c>
      <c r="C255" s="35" t="str">
        <f t="shared" si="9"/>
        <v>Sonntag</v>
      </c>
      <c r="F255" s="41" t="str">
        <f t="shared" si="10"/>
        <v/>
      </c>
    </row>
    <row r="256" spans="1:7" s="20" customFormat="1" x14ac:dyDescent="0.3">
      <c r="A256" s="59">
        <f t="shared" si="11"/>
        <v>37</v>
      </c>
      <c r="B256" s="32">
        <v>44816</v>
      </c>
      <c r="C256" s="33" t="str">
        <f t="shared" si="9"/>
        <v>Montag</v>
      </c>
      <c r="F256" s="39" t="str">
        <f t="shared" si="10"/>
        <v/>
      </c>
    </row>
    <row r="257" spans="1:7" s="20" customFormat="1" x14ac:dyDescent="0.3">
      <c r="A257" s="59"/>
      <c r="B257" s="32">
        <v>44817</v>
      </c>
      <c r="C257" s="33" t="str">
        <f t="shared" si="9"/>
        <v>Dienstag</v>
      </c>
      <c r="F257" s="39" t="str">
        <f t="shared" si="10"/>
        <v/>
      </c>
    </row>
    <row r="258" spans="1:7" s="20" customFormat="1" x14ac:dyDescent="0.3">
      <c r="A258" s="59"/>
      <c r="B258" s="32">
        <v>44818</v>
      </c>
      <c r="C258" s="33" t="str">
        <f t="shared" si="9"/>
        <v>Mittwoch</v>
      </c>
      <c r="F258" s="39" t="str">
        <f t="shared" si="10"/>
        <v/>
      </c>
    </row>
    <row r="259" spans="1:7" s="20" customFormat="1" x14ac:dyDescent="0.3">
      <c r="A259" s="59"/>
      <c r="B259" s="32">
        <v>44819</v>
      </c>
      <c r="C259" s="33" t="str">
        <f t="shared" ref="C259:C322" si="12">IF(WEEKDAY(B259,2)=1,"Montag",IF(WEEKDAY(B259,2)=2,"Dienstag",IF(WEEKDAY(B259,2)=3,"Mittwoch",IF(WEEKDAY(B259,2)=4,"Donnerstag",IF(WEEKDAY(B259,2)=5,"Freitag",IF(WEEKDAY(B259,2)=6,"Samstag",IF(WEEKDAY(B259,2)=7,"Sonntag","")))))))</f>
        <v>Donnerstag</v>
      </c>
      <c r="F259" s="39" t="str">
        <f t="shared" ref="F259:F322" si="13">IF(D259="","",E259-D259)</f>
        <v/>
      </c>
    </row>
    <row r="260" spans="1:7" s="20" customFormat="1" x14ac:dyDescent="0.3">
      <c r="A260" s="59"/>
      <c r="B260" s="32">
        <v>44820</v>
      </c>
      <c r="C260" s="33" t="str">
        <f t="shared" si="12"/>
        <v>Freitag</v>
      </c>
      <c r="F260" s="39" t="str">
        <f t="shared" si="13"/>
        <v/>
      </c>
    </row>
    <row r="261" spans="1:7" s="44" customFormat="1" x14ac:dyDescent="0.3">
      <c r="A261" s="59"/>
      <c r="B261" s="42">
        <v>44821</v>
      </c>
      <c r="C261" s="43" t="str">
        <f t="shared" si="12"/>
        <v>Samstag</v>
      </c>
      <c r="E261" s="44" t="s">
        <v>98</v>
      </c>
      <c r="F261" s="45">
        <f>SUM(F256:F260)</f>
        <v>0</v>
      </c>
      <c r="G261" s="44">
        <f>SUM(G256:G260)</f>
        <v>0</v>
      </c>
    </row>
    <row r="262" spans="1:7" s="36" customFormat="1" x14ac:dyDescent="0.3">
      <c r="A262" s="59"/>
      <c r="B262" s="34">
        <v>44822</v>
      </c>
      <c r="C262" s="35" t="str">
        <f t="shared" si="12"/>
        <v>Sonntag</v>
      </c>
      <c r="F262" s="41" t="str">
        <f t="shared" si="13"/>
        <v/>
      </c>
    </row>
    <row r="263" spans="1:7" s="20" customFormat="1" x14ac:dyDescent="0.3">
      <c r="A263" s="56">
        <f t="shared" ref="A263:A319" si="14">WEEKNUM(B263,21)</f>
        <v>38</v>
      </c>
      <c r="B263" s="32">
        <v>44823</v>
      </c>
      <c r="C263" s="33" t="str">
        <f t="shared" si="12"/>
        <v>Montag</v>
      </c>
      <c r="F263" s="39" t="str">
        <f t="shared" si="13"/>
        <v/>
      </c>
    </row>
    <row r="264" spans="1:7" s="20" customFormat="1" x14ac:dyDescent="0.3">
      <c r="A264" s="57"/>
      <c r="B264" s="32">
        <v>44824</v>
      </c>
      <c r="C264" s="33" t="str">
        <f t="shared" si="12"/>
        <v>Dienstag</v>
      </c>
      <c r="F264" s="39" t="str">
        <f t="shared" si="13"/>
        <v/>
      </c>
    </row>
    <row r="265" spans="1:7" s="20" customFormat="1" x14ac:dyDescent="0.3">
      <c r="A265" s="57"/>
      <c r="B265" s="32">
        <v>44825</v>
      </c>
      <c r="C265" s="33" t="str">
        <f t="shared" si="12"/>
        <v>Mittwoch</v>
      </c>
      <c r="F265" s="39" t="str">
        <f t="shared" si="13"/>
        <v/>
      </c>
    </row>
    <row r="266" spans="1:7" s="20" customFormat="1" x14ac:dyDescent="0.3">
      <c r="A266" s="57"/>
      <c r="B266" s="32">
        <v>44826</v>
      </c>
      <c r="C266" s="33" t="str">
        <f t="shared" si="12"/>
        <v>Donnerstag</v>
      </c>
      <c r="F266" s="39" t="str">
        <f t="shared" si="13"/>
        <v/>
      </c>
    </row>
    <row r="267" spans="1:7" s="20" customFormat="1" x14ac:dyDescent="0.3">
      <c r="A267" s="57"/>
      <c r="B267" s="32">
        <v>44827</v>
      </c>
      <c r="C267" s="33" t="str">
        <f t="shared" si="12"/>
        <v>Freitag</v>
      </c>
      <c r="F267" s="39" t="str">
        <f t="shared" si="13"/>
        <v/>
      </c>
    </row>
    <row r="268" spans="1:7" s="44" customFormat="1" x14ac:dyDescent="0.3">
      <c r="A268" s="57"/>
      <c r="B268" s="42">
        <v>44828</v>
      </c>
      <c r="C268" s="43" t="str">
        <f t="shared" si="12"/>
        <v>Samstag</v>
      </c>
      <c r="E268" s="44" t="s">
        <v>99</v>
      </c>
      <c r="F268" s="45">
        <f>SUM(F263:F267)</f>
        <v>0</v>
      </c>
      <c r="G268" s="44">
        <f>SUM(G263:G267)</f>
        <v>0</v>
      </c>
    </row>
    <row r="269" spans="1:7" s="36" customFormat="1" x14ac:dyDescent="0.3">
      <c r="A269" s="58"/>
      <c r="B269" s="34">
        <v>44829</v>
      </c>
      <c r="C269" s="35" t="str">
        <f t="shared" si="12"/>
        <v>Sonntag</v>
      </c>
      <c r="F269" s="41" t="str">
        <f t="shared" si="13"/>
        <v/>
      </c>
    </row>
    <row r="270" spans="1:7" s="20" customFormat="1" x14ac:dyDescent="0.3">
      <c r="A270" s="59">
        <f t="shared" si="14"/>
        <v>39</v>
      </c>
      <c r="B270" s="32">
        <v>44830</v>
      </c>
      <c r="C270" s="33" t="str">
        <f t="shared" si="12"/>
        <v>Montag</v>
      </c>
      <c r="F270" s="39" t="str">
        <f t="shared" si="13"/>
        <v/>
      </c>
    </row>
    <row r="271" spans="1:7" s="20" customFormat="1" x14ac:dyDescent="0.3">
      <c r="A271" s="59"/>
      <c r="B271" s="32">
        <v>44831</v>
      </c>
      <c r="C271" s="33" t="str">
        <f t="shared" si="12"/>
        <v>Dienstag</v>
      </c>
      <c r="F271" s="39" t="str">
        <f t="shared" si="13"/>
        <v/>
      </c>
    </row>
    <row r="272" spans="1:7" s="20" customFormat="1" x14ac:dyDescent="0.3">
      <c r="A272" s="59"/>
      <c r="B272" s="32">
        <v>44832</v>
      </c>
      <c r="C272" s="33" t="str">
        <f t="shared" si="12"/>
        <v>Mittwoch</v>
      </c>
      <c r="F272" s="39" t="str">
        <f t="shared" si="13"/>
        <v/>
      </c>
    </row>
    <row r="273" spans="1:7" s="20" customFormat="1" x14ac:dyDescent="0.3">
      <c r="A273" s="59"/>
      <c r="B273" s="32">
        <v>44833</v>
      </c>
      <c r="C273" s="33" t="str">
        <f t="shared" si="12"/>
        <v>Donnerstag</v>
      </c>
      <c r="F273" s="39" t="str">
        <f t="shared" si="13"/>
        <v/>
      </c>
    </row>
    <row r="274" spans="1:7" s="20" customFormat="1" x14ac:dyDescent="0.3">
      <c r="A274" s="59"/>
      <c r="B274" s="32">
        <v>44834</v>
      </c>
      <c r="C274" s="33" t="str">
        <f t="shared" si="12"/>
        <v>Freitag</v>
      </c>
      <c r="F274" s="39" t="str">
        <f t="shared" si="13"/>
        <v/>
      </c>
    </row>
    <row r="275" spans="1:7" s="44" customFormat="1" x14ac:dyDescent="0.3">
      <c r="A275" s="59"/>
      <c r="B275" s="42">
        <v>44835</v>
      </c>
      <c r="C275" s="43" t="str">
        <f t="shared" si="12"/>
        <v>Samstag</v>
      </c>
      <c r="E275" s="44" t="s">
        <v>100</v>
      </c>
      <c r="F275" s="45">
        <f>SUM(F270:F274)</f>
        <v>0</v>
      </c>
      <c r="G275" s="44">
        <f>SUM(G270:G274)</f>
        <v>0</v>
      </c>
    </row>
    <row r="276" spans="1:7" s="36" customFormat="1" x14ac:dyDescent="0.3">
      <c r="A276" s="59"/>
      <c r="B276" s="34">
        <v>44836</v>
      </c>
      <c r="C276" s="35" t="str">
        <f t="shared" si="12"/>
        <v>Sonntag</v>
      </c>
      <c r="F276" s="41" t="str">
        <f t="shared" si="13"/>
        <v/>
      </c>
    </row>
    <row r="277" spans="1:7" s="20" customFormat="1" x14ac:dyDescent="0.3">
      <c r="A277" s="56">
        <f t="shared" si="14"/>
        <v>40</v>
      </c>
      <c r="B277" s="32">
        <v>44837</v>
      </c>
      <c r="C277" s="33" t="str">
        <f t="shared" si="12"/>
        <v>Montag</v>
      </c>
      <c r="F277" s="39" t="str">
        <f t="shared" si="13"/>
        <v/>
      </c>
    </row>
    <row r="278" spans="1:7" s="20" customFormat="1" x14ac:dyDescent="0.3">
      <c r="A278" s="57"/>
      <c r="B278" s="32">
        <v>44838</v>
      </c>
      <c r="C278" s="33" t="str">
        <f t="shared" si="12"/>
        <v>Dienstag</v>
      </c>
      <c r="F278" s="39" t="str">
        <f t="shared" si="13"/>
        <v/>
      </c>
    </row>
    <row r="279" spans="1:7" s="20" customFormat="1" x14ac:dyDescent="0.3">
      <c r="A279" s="57"/>
      <c r="B279" s="32">
        <v>44839</v>
      </c>
      <c r="C279" s="33" t="str">
        <f t="shared" si="12"/>
        <v>Mittwoch</v>
      </c>
      <c r="F279" s="39" t="str">
        <f t="shared" si="13"/>
        <v/>
      </c>
    </row>
    <row r="280" spans="1:7" s="20" customFormat="1" x14ac:dyDescent="0.3">
      <c r="A280" s="57"/>
      <c r="B280" s="32">
        <v>44840</v>
      </c>
      <c r="C280" s="33" t="str">
        <f t="shared" si="12"/>
        <v>Donnerstag</v>
      </c>
      <c r="F280" s="39" t="str">
        <f t="shared" si="13"/>
        <v/>
      </c>
    </row>
    <row r="281" spans="1:7" s="20" customFormat="1" x14ac:dyDescent="0.3">
      <c r="A281" s="57"/>
      <c r="B281" s="32">
        <v>44841</v>
      </c>
      <c r="C281" s="33" t="str">
        <f t="shared" si="12"/>
        <v>Freitag</v>
      </c>
      <c r="F281" s="39" t="str">
        <f t="shared" si="13"/>
        <v/>
      </c>
    </row>
    <row r="282" spans="1:7" s="44" customFormat="1" x14ac:dyDescent="0.3">
      <c r="A282" s="57"/>
      <c r="B282" s="42">
        <v>44842</v>
      </c>
      <c r="C282" s="43" t="str">
        <f t="shared" si="12"/>
        <v>Samstag</v>
      </c>
      <c r="E282" s="44" t="s">
        <v>101</v>
      </c>
      <c r="F282" s="45">
        <f>SUM(F277:F281)</f>
        <v>0</v>
      </c>
      <c r="G282" s="44">
        <f>SUM(G277:G281)</f>
        <v>0</v>
      </c>
    </row>
    <row r="283" spans="1:7" s="36" customFormat="1" x14ac:dyDescent="0.3">
      <c r="A283" s="58"/>
      <c r="B283" s="34">
        <v>44843</v>
      </c>
      <c r="C283" s="35" t="str">
        <f t="shared" si="12"/>
        <v>Sonntag</v>
      </c>
      <c r="F283" s="41" t="str">
        <f t="shared" si="13"/>
        <v/>
      </c>
    </row>
    <row r="284" spans="1:7" s="20" customFormat="1" x14ac:dyDescent="0.3">
      <c r="A284" s="59">
        <f t="shared" si="14"/>
        <v>41</v>
      </c>
      <c r="B284" s="32">
        <v>44844</v>
      </c>
      <c r="C284" s="33" t="str">
        <f t="shared" si="12"/>
        <v>Montag</v>
      </c>
      <c r="F284" s="39" t="str">
        <f t="shared" si="13"/>
        <v/>
      </c>
    </row>
    <row r="285" spans="1:7" s="20" customFormat="1" x14ac:dyDescent="0.3">
      <c r="A285" s="59"/>
      <c r="B285" s="32">
        <v>44845</v>
      </c>
      <c r="C285" s="33" t="str">
        <f t="shared" si="12"/>
        <v>Dienstag</v>
      </c>
      <c r="F285" s="39" t="str">
        <f t="shared" si="13"/>
        <v/>
      </c>
    </row>
    <row r="286" spans="1:7" s="20" customFormat="1" x14ac:dyDescent="0.3">
      <c r="A286" s="59"/>
      <c r="B286" s="32">
        <v>44846</v>
      </c>
      <c r="C286" s="33" t="str">
        <f t="shared" si="12"/>
        <v>Mittwoch</v>
      </c>
      <c r="F286" s="39" t="str">
        <f t="shared" si="13"/>
        <v/>
      </c>
    </row>
    <row r="287" spans="1:7" s="20" customFormat="1" x14ac:dyDescent="0.3">
      <c r="A287" s="59"/>
      <c r="B287" s="32">
        <v>44847</v>
      </c>
      <c r="C287" s="33" t="str">
        <f t="shared" si="12"/>
        <v>Donnerstag</v>
      </c>
      <c r="F287" s="39" t="str">
        <f t="shared" si="13"/>
        <v/>
      </c>
    </row>
    <row r="288" spans="1:7" s="20" customFormat="1" x14ac:dyDescent="0.3">
      <c r="A288" s="59"/>
      <c r="B288" s="32">
        <v>44848</v>
      </c>
      <c r="C288" s="33" t="str">
        <f t="shared" si="12"/>
        <v>Freitag</v>
      </c>
      <c r="F288" s="39" t="str">
        <f t="shared" si="13"/>
        <v/>
      </c>
    </row>
    <row r="289" spans="1:7" s="44" customFormat="1" x14ac:dyDescent="0.3">
      <c r="A289" s="59"/>
      <c r="B289" s="42">
        <v>44849</v>
      </c>
      <c r="C289" s="43" t="str">
        <f t="shared" si="12"/>
        <v>Samstag</v>
      </c>
      <c r="E289" s="44" t="s">
        <v>102</v>
      </c>
      <c r="F289" s="45">
        <f>SUM(F284:F288)</f>
        <v>0</v>
      </c>
      <c r="G289" s="44">
        <f>SUM(G284:G288)</f>
        <v>0</v>
      </c>
    </row>
    <row r="290" spans="1:7" s="36" customFormat="1" x14ac:dyDescent="0.3">
      <c r="A290" s="59"/>
      <c r="B290" s="34">
        <v>44850</v>
      </c>
      <c r="C290" s="35" t="str">
        <f t="shared" si="12"/>
        <v>Sonntag</v>
      </c>
      <c r="F290" s="41" t="str">
        <f t="shared" si="13"/>
        <v/>
      </c>
    </row>
    <row r="291" spans="1:7" s="20" customFormat="1" x14ac:dyDescent="0.3">
      <c r="A291" s="56">
        <f t="shared" si="14"/>
        <v>42</v>
      </c>
      <c r="B291" s="32">
        <v>44851</v>
      </c>
      <c r="C291" s="33" t="str">
        <f t="shared" si="12"/>
        <v>Montag</v>
      </c>
      <c r="F291" s="39" t="str">
        <f t="shared" si="13"/>
        <v/>
      </c>
    </row>
    <row r="292" spans="1:7" s="20" customFormat="1" x14ac:dyDescent="0.3">
      <c r="A292" s="57"/>
      <c r="B292" s="32">
        <v>44852</v>
      </c>
      <c r="C292" s="33" t="str">
        <f t="shared" si="12"/>
        <v>Dienstag</v>
      </c>
      <c r="F292" s="39" t="str">
        <f t="shared" si="13"/>
        <v/>
      </c>
    </row>
    <row r="293" spans="1:7" s="20" customFormat="1" x14ac:dyDescent="0.3">
      <c r="A293" s="57"/>
      <c r="B293" s="32">
        <v>44853</v>
      </c>
      <c r="C293" s="33" t="str">
        <f t="shared" si="12"/>
        <v>Mittwoch</v>
      </c>
      <c r="F293" s="39" t="str">
        <f t="shared" si="13"/>
        <v/>
      </c>
    </row>
    <row r="294" spans="1:7" s="20" customFormat="1" x14ac:dyDescent="0.3">
      <c r="A294" s="57"/>
      <c r="B294" s="32">
        <v>44854</v>
      </c>
      <c r="C294" s="33" t="str">
        <f t="shared" si="12"/>
        <v>Donnerstag</v>
      </c>
      <c r="F294" s="39" t="str">
        <f t="shared" si="13"/>
        <v/>
      </c>
    </row>
    <row r="295" spans="1:7" s="20" customFormat="1" x14ac:dyDescent="0.3">
      <c r="A295" s="57"/>
      <c r="B295" s="32">
        <v>44855</v>
      </c>
      <c r="C295" s="33" t="str">
        <f t="shared" si="12"/>
        <v>Freitag</v>
      </c>
      <c r="F295" s="39" t="str">
        <f t="shared" si="13"/>
        <v/>
      </c>
    </row>
    <row r="296" spans="1:7" s="44" customFormat="1" x14ac:dyDescent="0.3">
      <c r="A296" s="57"/>
      <c r="B296" s="42">
        <v>44856</v>
      </c>
      <c r="C296" s="43" t="str">
        <f t="shared" si="12"/>
        <v>Samstag</v>
      </c>
      <c r="E296" s="44" t="s">
        <v>103</v>
      </c>
      <c r="F296" s="45">
        <f>SUM(F291:F295)</f>
        <v>0</v>
      </c>
      <c r="G296" s="44">
        <f>SUM(G291:G295)</f>
        <v>0</v>
      </c>
    </row>
    <row r="297" spans="1:7" s="36" customFormat="1" x14ac:dyDescent="0.3">
      <c r="A297" s="58"/>
      <c r="B297" s="34">
        <v>44857</v>
      </c>
      <c r="C297" s="35" t="str">
        <f t="shared" si="12"/>
        <v>Sonntag</v>
      </c>
      <c r="F297" s="41" t="str">
        <f t="shared" si="13"/>
        <v/>
      </c>
    </row>
    <row r="298" spans="1:7" s="20" customFormat="1" x14ac:dyDescent="0.3">
      <c r="A298" s="59">
        <f t="shared" si="14"/>
        <v>43</v>
      </c>
      <c r="B298" s="32">
        <v>44858</v>
      </c>
      <c r="C298" s="33" t="str">
        <f t="shared" si="12"/>
        <v>Montag</v>
      </c>
      <c r="F298" s="39" t="str">
        <f t="shared" si="13"/>
        <v/>
      </c>
    </row>
    <row r="299" spans="1:7" s="20" customFormat="1" x14ac:dyDescent="0.3">
      <c r="A299" s="59"/>
      <c r="B299" s="32">
        <v>44859</v>
      </c>
      <c r="C299" s="33" t="str">
        <f t="shared" si="12"/>
        <v>Dienstag</v>
      </c>
      <c r="F299" s="39" t="str">
        <f t="shared" si="13"/>
        <v/>
      </c>
    </row>
    <row r="300" spans="1:7" s="20" customFormat="1" x14ac:dyDescent="0.3">
      <c r="A300" s="59"/>
      <c r="B300" s="32">
        <v>44860</v>
      </c>
      <c r="C300" s="33" t="str">
        <f t="shared" si="12"/>
        <v>Mittwoch</v>
      </c>
      <c r="F300" s="39" t="str">
        <f t="shared" si="13"/>
        <v/>
      </c>
    </row>
    <row r="301" spans="1:7" s="20" customFormat="1" x14ac:dyDescent="0.3">
      <c r="A301" s="59"/>
      <c r="B301" s="32">
        <v>44861</v>
      </c>
      <c r="C301" s="33" t="str">
        <f t="shared" si="12"/>
        <v>Donnerstag</v>
      </c>
      <c r="F301" s="39" t="str">
        <f t="shared" si="13"/>
        <v/>
      </c>
    </row>
    <row r="302" spans="1:7" s="20" customFormat="1" x14ac:dyDescent="0.3">
      <c r="A302" s="59"/>
      <c r="B302" s="32">
        <v>44862</v>
      </c>
      <c r="C302" s="33" t="str">
        <f t="shared" si="12"/>
        <v>Freitag</v>
      </c>
      <c r="F302" s="39" t="str">
        <f t="shared" si="13"/>
        <v/>
      </c>
    </row>
    <row r="303" spans="1:7" s="44" customFormat="1" x14ac:dyDescent="0.3">
      <c r="A303" s="59"/>
      <c r="B303" s="42">
        <v>44863</v>
      </c>
      <c r="C303" s="43" t="str">
        <f t="shared" si="12"/>
        <v>Samstag</v>
      </c>
      <c r="E303" s="44" t="s">
        <v>104</v>
      </c>
      <c r="F303" s="45">
        <f>SUM(F298:F302)</f>
        <v>0</v>
      </c>
      <c r="G303" s="44">
        <f>SUM(G298:G302)</f>
        <v>0</v>
      </c>
    </row>
    <row r="304" spans="1:7" s="36" customFormat="1" x14ac:dyDescent="0.3">
      <c r="A304" s="59"/>
      <c r="B304" s="34">
        <v>44864</v>
      </c>
      <c r="C304" s="35" t="str">
        <f t="shared" si="12"/>
        <v>Sonntag</v>
      </c>
      <c r="F304" s="41" t="str">
        <f t="shared" si="13"/>
        <v/>
      </c>
    </row>
    <row r="305" spans="1:7" s="20" customFormat="1" x14ac:dyDescent="0.3">
      <c r="A305" s="56">
        <f t="shared" si="14"/>
        <v>44</v>
      </c>
      <c r="B305" s="32">
        <v>44865</v>
      </c>
      <c r="C305" s="33" t="str">
        <f t="shared" si="12"/>
        <v>Montag</v>
      </c>
      <c r="F305" s="39" t="str">
        <f t="shared" si="13"/>
        <v/>
      </c>
    </row>
    <row r="306" spans="1:7" s="20" customFormat="1" x14ac:dyDescent="0.3">
      <c r="A306" s="57"/>
      <c r="B306" s="32">
        <v>44866</v>
      </c>
      <c r="C306" s="33" t="str">
        <f t="shared" si="12"/>
        <v>Dienstag</v>
      </c>
      <c r="F306" s="39" t="str">
        <f t="shared" si="13"/>
        <v/>
      </c>
    </row>
    <row r="307" spans="1:7" s="20" customFormat="1" x14ac:dyDescent="0.3">
      <c r="A307" s="57"/>
      <c r="B307" s="32">
        <v>44867</v>
      </c>
      <c r="C307" s="33" t="str">
        <f t="shared" si="12"/>
        <v>Mittwoch</v>
      </c>
      <c r="F307" s="39" t="str">
        <f t="shared" si="13"/>
        <v/>
      </c>
    </row>
    <row r="308" spans="1:7" s="20" customFormat="1" x14ac:dyDescent="0.3">
      <c r="A308" s="57"/>
      <c r="B308" s="32">
        <v>44868</v>
      </c>
      <c r="C308" s="33" t="str">
        <f t="shared" si="12"/>
        <v>Donnerstag</v>
      </c>
      <c r="F308" s="39" t="str">
        <f t="shared" si="13"/>
        <v/>
      </c>
    </row>
    <row r="309" spans="1:7" s="20" customFormat="1" x14ac:dyDescent="0.3">
      <c r="A309" s="57"/>
      <c r="B309" s="32">
        <v>44869</v>
      </c>
      <c r="C309" s="33" t="str">
        <f t="shared" si="12"/>
        <v>Freitag</v>
      </c>
      <c r="F309" s="39" t="str">
        <f t="shared" si="13"/>
        <v/>
      </c>
    </row>
    <row r="310" spans="1:7" s="44" customFormat="1" x14ac:dyDescent="0.3">
      <c r="A310" s="57"/>
      <c r="B310" s="42">
        <v>44870</v>
      </c>
      <c r="C310" s="43" t="str">
        <f t="shared" si="12"/>
        <v>Samstag</v>
      </c>
      <c r="E310" s="44" t="s">
        <v>105</v>
      </c>
      <c r="F310" s="45">
        <f>SUM(F305:F309)</f>
        <v>0</v>
      </c>
      <c r="G310" s="44">
        <f>SUM(G305:G309)</f>
        <v>0</v>
      </c>
    </row>
    <row r="311" spans="1:7" s="36" customFormat="1" x14ac:dyDescent="0.3">
      <c r="A311" s="58"/>
      <c r="B311" s="34">
        <v>44871</v>
      </c>
      <c r="C311" s="35" t="str">
        <f t="shared" si="12"/>
        <v>Sonntag</v>
      </c>
      <c r="F311" s="41" t="str">
        <f t="shared" si="13"/>
        <v/>
      </c>
    </row>
    <row r="312" spans="1:7" s="20" customFormat="1" x14ac:dyDescent="0.3">
      <c r="A312" s="59">
        <f t="shared" si="14"/>
        <v>45</v>
      </c>
      <c r="B312" s="32">
        <v>44872</v>
      </c>
      <c r="C312" s="33" t="str">
        <f t="shared" si="12"/>
        <v>Montag</v>
      </c>
      <c r="F312" s="39" t="str">
        <f t="shared" si="13"/>
        <v/>
      </c>
    </row>
    <row r="313" spans="1:7" s="20" customFormat="1" x14ac:dyDescent="0.3">
      <c r="A313" s="59"/>
      <c r="B313" s="32">
        <v>44873</v>
      </c>
      <c r="C313" s="33" t="str">
        <f t="shared" si="12"/>
        <v>Dienstag</v>
      </c>
      <c r="F313" s="39" t="str">
        <f t="shared" si="13"/>
        <v/>
      </c>
    </row>
    <row r="314" spans="1:7" s="20" customFormat="1" x14ac:dyDescent="0.3">
      <c r="A314" s="59"/>
      <c r="B314" s="32">
        <v>44874</v>
      </c>
      <c r="C314" s="33" t="str">
        <f t="shared" si="12"/>
        <v>Mittwoch</v>
      </c>
      <c r="F314" s="39" t="str">
        <f t="shared" si="13"/>
        <v/>
      </c>
    </row>
    <row r="315" spans="1:7" s="20" customFormat="1" x14ac:dyDescent="0.3">
      <c r="A315" s="59"/>
      <c r="B315" s="32">
        <v>44875</v>
      </c>
      <c r="C315" s="33" t="str">
        <f t="shared" si="12"/>
        <v>Donnerstag</v>
      </c>
      <c r="F315" s="39" t="str">
        <f t="shared" si="13"/>
        <v/>
      </c>
    </row>
    <row r="316" spans="1:7" s="20" customFormat="1" x14ac:dyDescent="0.3">
      <c r="A316" s="59"/>
      <c r="B316" s="32">
        <v>44876</v>
      </c>
      <c r="C316" s="33" t="str">
        <f t="shared" si="12"/>
        <v>Freitag</v>
      </c>
      <c r="F316" s="39" t="str">
        <f t="shared" si="13"/>
        <v/>
      </c>
    </row>
    <row r="317" spans="1:7" s="44" customFormat="1" x14ac:dyDescent="0.3">
      <c r="A317" s="59"/>
      <c r="B317" s="42">
        <v>44877</v>
      </c>
      <c r="C317" s="43" t="str">
        <f t="shared" si="12"/>
        <v>Samstag</v>
      </c>
      <c r="E317" s="44" t="s">
        <v>106</v>
      </c>
      <c r="F317" s="45">
        <f>SUM(F312:F316)</f>
        <v>0</v>
      </c>
      <c r="G317" s="44">
        <f>SUM(G312:G316)</f>
        <v>0</v>
      </c>
    </row>
    <row r="318" spans="1:7" s="36" customFormat="1" x14ac:dyDescent="0.3">
      <c r="A318" s="59"/>
      <c r="B318" s="34">
        <v>44878</v>
      </c>
      <c r="C318" s="35" t="str">
        <f t="shared" si="12"/>
        <v>Sonntag</v>
      </c>
      <c r="F318" s="41" t="str">
        <f t="shared" si="13"/>
        <v/>
      </c>
    </row>
    <row r="319" spans="1:7" s="20" customFormat="1" x14ac:dyDescent="0.3">
      <c r="A319" s="56">
        <f t="shared" si="14"/>
        <v>46</v>
      </c>
      <c r="B319" s="32">
        <v>44879</v>
      </c>
      <c r="C319" s="33" t="str">
        <f t="shared" si="12"/>
        <v>Montag</v>
      </c>
      <c r="F319" s="39" t="str">
        <f t="shared" si="13"/>
        <v/>
      </c>
    </row>
    <row r="320" spans="1:7" s="20" customFormat="1" x14ac:dyDescent="0.3">
      <c r="A320" s="57"/>
      <c r="B320" s="32">
        <v>44880</v>
      </c>
      <c r="C320" s="33" t="str">
        <f t="shared" si="12"/>
        <v>Dienstag</v>
      </c>
      <c r="F320" s="39" t="str">
        <f t="shared" si="13"/>
        <v/>
      </c>
    </row>
    <row r="321" spans="1:7" s="20" customFormat="1" x14ac:dyDescent="0.3">
      <c r="A321" s="57"/>
      <c r="B321" s="32">
        <v>44881</v>
      </c>
      <c r="C321" s="33" t="str">
        <f t="shared" si="12"/>
        <v>Mittwoch</v>
      </c>
      <c r="F321" s="39" t="str">
        <f t="shared" si="13"/>
        <v/>
      </c>
    </row>
    <row r="322" spans="1:7" s="20" customFormat="1" x14ac:dyDescent="0.3">
      <c r="A322" s="57"/>
      <c r="B322" s="32">
        <v>44882</v>
      </c>
      <c r="C322" s="33" t="str">
        <f t="shared" si="12"/>
        <v>Donnerstag</v>
      </c>
      <c r="F322" s="39" t="str">
        <f t="shared" si="13"/>
        <v/>
      </c>
    </row>
    <row r="323" spans="1:7" s="20" customFormat="1" x14ac:dyDescent="0.3">
      <c r="A323" s="57"/>
      <c r="B323" s="32">
        <v>44883</v>
      </c>
      <c r="C323" s="33" t="str">
        <f t="shared" ref="C323:C366" si="15">IF(WEEKDAY(B323,2)=1,"Montag",IF(WEEKDAY(B323,2)=2,"Dienstag",IF(WEEKDAY(B323,2)=3,"Mittwoch",IF(WEEKDAY(B323,2)=4,"Donnerstag",IF(WEEKDAY(B323,2)=5,"Freitag",IF(WEEKDAY(B323,2)=6,"Samstag",IF(WEEKDAY(B323,2)=7,"Sonntag","")))))))</f>
        <v>Freitag</v>
      </c>
      <c r="F323" s="39" t="str">
        <f t="shared" ref="F323:F365" si="16">IF(D323="","",E323-D323)</f>
        <v/>
      </c>
    </row>
    <row r="324" spans="1:7" s="44" customFormat="1" x14ac:dyDescent="0.3">
      <c r="A324" s="57"/>
      <c r="B324" s="42">
        <v>44884</v>
      </c>
      <c r="C324" s="43" t="str">
        <f t="shared" si="15"/>
        <v>Samstag</v>
      </c>
      <c r="E324" s="44" t="s">
        <v>107</v>
      </c>
      <c r="F324" s="45">
        <f>SUM(F319:F323)</f>
        <v>0</v>
      </c>
      <c r="G324" s="44">
        <f>SUM(G319:G323)</f>
        <v>0</v>
      </c>
    </row>
    <row r="325" spans="1:7" s="36" customFormat="1" x14ac:dyDescent="0.3">
      <c r="A325" s="58"/>
      <c r="B325" s="34">
        <v>44885</v>
      </c>
      <c r="C325" s="35" t="str">
        <f t="shared" si="15"/>
        <v>Sonntag</v>
      </c>
      <c r="F325" s="41" t="str">
        <f t="shared" si="16"/>
        <v/>
      </c>
    </row>
    <row r="326" spans="1:7" s="20" customFormat="1" x14ac:dyDescent="0.3">
      <c r="A326" s="59">
        <f t="shared" ref="A326:A361" si="17">WEEKNUM(B326,21)</f>
        <v>47</v>
      </c>
      <c r="B326" s="32">
        <v>44886</v>
      </c>
      <c r="C326" s="33" t="str">
        <f t="shared" si="15"/>
        <v>Montag</v>
      </c>
      <c r="F326" s="39" t="str">
        <f t="shared" si="16"/>
        <v/>
      </c>
    </row>
    <row r="327" spans="1:7" s="20" customFormat="1" x14ac:dyDescent="0.3">
      <c r="A327" s="59"/>
      <c r="B327" s="32">
        <v>44887</v>
      </c>
      <c r="C327" s="33" t="str">
        <f t="shared" si="15"/>
        <v>Dienstag</v>
      </c>
      <c r="F327" s="39" t="str">
        <f t="shared" si="16"/>
        <v/>
      </c>
    </row>
    <row r="328" spans="1:7" s="20" customFormat="1" x14ac:dyDescent="0.3">
      <c r="A328" s="59"/>
      <c r="B328" s="32">
        <v>44888</v>
      </c>
      <c r="C328" s="33" t="str">
        <f t="shared" si="15"/>
        <v>Mittwoch</v>
      </c>
      <c r="F328" s="39" t="str">
        <f t="shared" si="16"/>
        <v/>
      </c>
    </row>
    <row r="329" spans="1:7" s="20" customFormat="1" x14ac:dyDescent="0.3">
      <c r="A329" s="59"/>
      <c r="B329" s="32">
        <v>44889</v>
      </c>
      <c r="C329" s="33" t="str">
        <f t="shared" si="15"/>
        <v>Donnerstag</v>
      </c>
      <c r="F329" s="39" t="str">
        <f t="shared" si="16"/>
        <v/>
      </c>
    </row>
    <row r="330" spans="1:7" s="20" customFormat="1" x14ac:dyDescent="0.3">
      <c r="A330" s="59"/>
      <c r="B330" s="32">
        <v>44890</v>
      </c>
      <c r="C330" s="33" t="str">
        <f t="shared" si="15"/>
        <v>Freitag</v>
      </c>
      <c r="F330" s="39" t="str">
        <f t="shared" si="16"/>
        <v/>
      </c>
    </row>
    <row r="331" spans="1:7" s="44" customFormat="1" x14ac:dyDescent="0.3">
      <c r="A331" s="59"/>
      <c r="B331" s="42">
        <v>44891</v>
      </c>
      <c r="C331" s="43" t="str">
        <f t="shared" si="15"/>
        <v>Samstag</v>
      </c>
      <c r="E331" s="44" t="s">
        <v>108</v>
      </c>
      <c r="F331" s="45">
        <f>SUM(F326:F330)</f>
        <v>0</v>
      </c>
      <c r="G331" s="44">
        <f>SUM(G326:G330)</f>
        <v>0</v>
      </c>
    </row>
    <row r="332" spans="1:7" s="36" customFormat="1" x14ac:dyDescent="0.3">
      <c r="A332" s="59"/>
      <c r="B332" s="34">
        <v>44892</v>
      </c>
      <c r="C332" s="35" t="str">
        <f t="shared" si="15"/>
        <v>Sonntag</v>
      </c>
      <c r="F332" s="41" t="str">
        <f t="shared" si="16"/>
        <v/>
      </c>
    </row>
    <row r="333" spans="1:7" s="20" customFormat="1" x14ac:dyDescent="0.3">
      <c r="A333" s="56">
        <f t="shared" si="17"/>
        <v>48</v>
      </c>
      <c r="B333" s="32">
        <v>44893</v>
      </c>
      <c r="C333" s="33" t="str">
        <f t="shared" si="15"/>
        <v>Montag</v>
      </c>
      <c r="F333" s="39" t="str">
        <f t="shared" si="16"/>
        <v/>
      </c>
    </row>
    <row r="334" spans="1:7" s="20" customFormat="1" x14ac:dyDescent="0.3">
      <c r="A334" s="57"/>
      <c r="B334" s="32">
        <v>44894</v>
      </c>
      <c r="C334" s="33" t="str">
        <f t="shared" si="15"/>
        <v>Dienstag</v>
      </c>
      <c r="F334" s="39" t="str">
        <f t="shared" si="16"/>
        <v/>
      </c>
    </row>
    <row r="335" spans="1:7" s="20" customFormat="1" x14ac:dyDescent="0.3">
      <c r="A335" s="57"/>
      <c r="B335" s="32">
        <v>44895</v>
      </c>
      <c r="C335" s="33" t="str">
        <f t="shared" si="15"/>
        <v>Mittwoch</v>
      </c>
      <c r="F335" s="39" t="str">
        <f t="shared" si="16"/>
        <v/>
      </c>
    </row>
    <row r="336" spans="1:7" s="20" customFormat="1" x14ac:dyDescent="0.3">
      <c r="A336" s="57"/>
      <c r="B336" s="32">
        <v>44896</v>
      </c>
      <c r="C336" s="33" t="str">
        <f t="shared" si="15"/>
        <v>Donnerstag</v>
      </c>
      <c r="F336" s="39" t="str">
        <f t="shared" si="16"/>
        <v/>
      </c>
    </row>
    <row r="337" spans="1:7" s="20" customFormat="1" x14ac:dyDescent="0.3">
      <c r="A337" s="57"/>
      <c r="B337" s="32">
        <v>44897</v>
      </c>
      <c r="C337" s="33" t="str">
        <f t="shared" si="15"/>
        <v>Freitag</v>
      </c>
      <c r="F337" s="39" t="str">
        <f t="shared" si="16"/>
        <v/>
      </c>
    </row>
    <row r="338" spans="1:7" s="44" customFormat="1" x14ac:dyDescent="0.3">
      <c r="A338" s="57"/>
      <c r="B338" s="42">
        <v>44898</v>
      </c>
      <c r="C338" s="43" t="str">
        <f t="shared" si="15"/>
        <v>Samstag</v>
      </c>
      <c r="E338" s="44" t="s">
        <v>109</v>
      </c>
      <c r="F338" s="45">
        <f>SUM(F333:F337)</f>
        <v>0</v>
      </c>
      <c r="G338" s="44">
        <f>SUM(G333:G337)</f>
        <v>0</v>
      </c>
    </row>
    <row r="339" spans="1:7" s="36" customFormat="1" x14ac:dyDescent="0.3">
      <c r="A339" s="58"/>
      <c r="B339" s="34">
        <v>44899</v>
      </c>
      <c r="C339" s="35" t="str">
        <f t="shared" si="15"/>
        <v>Sonntag</v>
      </c>
      <c r="F339" s="41" t="str">
        <f t="shared" si="16"/>
        <v/>
      </c>
    </row>
    <row r="340" spans="1:7" s="20" customFormat="1" x14ac:dyDescent="0.3">
      <c r="A340" s="59">
        <f t="shared" si="17"/>
        <v>49</v>
      </c>
      <c r="B340" s="32">
        <v>44900</v>
      </c>
      <c r="C340" s="33" t="str">
        <f t="shared" si="15"/>
        <v>Montag</v>
      </c>
      <c r="F340" s="39" t="str">
        <f t="shared" si="16"/>
        <v/>
      </c>
    </row>
    <row r="341" spans="1:7" s="20" customFormat="1" x14ac:dyDescent="0.3">
      <c r="A341" s="59"/>
      <c r="B341" s="32">
        <v>44901</v>
      </c>
      <c r="C341" s="33" t="str">
        <f t="shared" si="15"/>
        <v>Dienstag</v>
      </c>
      <c r="F341" s="39" t="str">
        <f t="shared" si="16"/>
        <v/>
      </c>
    </row>
    <row r="342" spans="1:7" s="20" customFormat="1" x14ac:dyDescent="0.3">
      <c r="A342" s="59"/>
      <c r="B342" s="32">
        <v>44902</v>
      </c>
      <c r="C342" s="33" t="str">
        <f t="shared" si="15"/>
        <v>Mittwoch</v>
      </c>
      <c r="F342" s="39" t="str">
        <f t="shared" si="16"/>
        <v/>
      </c>
    </row>
    <row r="343" spans="1:7" s="20" customFormat="1" x14ac:dyDescent="0.3">
      <c r="A343" s="59"/>
      <c r="B343" s="32">
        <v>44903</v>
      </c>
      <c r="C343" s="33" t="str">
        <f t="shared" si="15"/>
        <v>Donnerstag</v>
      </c>
      <c r="F343" s="39" t="str">
        <f t="shared" si="16"/>
        <v/>
      </c>
    </row>
    <row r="344" spans="1:7" s="20" customFormat="1" x14ac:dyDescent="0.3">
      <c r="A344" s="59"/>
      <c r="B344" s="32">
        <v>44904</v>
      </c>
      <c r="C344" s="33" t="str">
        <f t="shared" si="15"/>
        <v>Freitag</v>
      </c>
      <c r="F344" s="39" t="str">
        <f t="shared" si="16"/>
        <v/>
      </c>
    </row>
    <row r="345" spans="1:7" s="44" customFormat="1" x14ac:dyDescent="0.3">
      <c r="A345" s="59"/>
      <c r="B345" s="42">
        <v>44905</v>
      </c>
      <c r="C345" s="43" t="str">
        <f t="shared" si="15"/>
        <v>Samstag</v>
      </c>
      <c r="E345" s="44" t="s">
        <v>110</v>
      </c>
      <c r="F345" s="45">
        <f>SUM(F340:F344)</f>
        <v>0</v>
      </c>
      <c r="G345" s="44">
        <f>SUM(G340:G344)</f>
        <v>0</v>
      </c>
    </row>
    <row r="346" spans="1:7" s="36" customFormat="1" x14ac:dyDescent="0.3">
      <c r="A346" s="59"/>
      <c r="B346" s="34">
        <v>44906</v>
      </c>
      <c r="C346" s="35" t="str">
        <f t="shared" si="15"/>
        <v>Sonntag</v>
      </c>
      <c r="F346" s="41" t="str">
        <f t="shared" si="16"/>
        <v/>
      </c>
    </row>
    <row r="347" spans="1:7" s="20" customFormat="1" x14ac:dyDescent="0.3">
      <c r="A347" s="56">
        <f t="shared" si="17"/>
        <v>50</v>
      </c>
      <c r="B347" s="32">
        <v>44907</v>
      </c>
      <c r="C347" s="33" t="str">
        <f t="shared" si="15"/>
        <v>Montag</v>
      </c>
      <c r="F347" s="39" t="str">
        <f t="shared" si="16"/>
        <v/>
      </c>
    </row>
    <row r="348" spans="1:7" s="20" customFormat="1" x14ac:dyDescent="0.3">
      <c r="A348" s="57"/>
      <c r="B348" s="32">
        <v>44908</v>
      </c>
      <c r="C348" s="33" t="str">
        <f t="shared" si="15"/>
        <v>Dienstag</v>
      </c>
      <c r="F348" s="39" t="str">
        <f t="shared" si="16"/>
        <v/>
      </c>
    </row>
    <row r="349" spans="1:7" s="20" customFormat="1" x14ac:dyDescent="0.3">
      <c r="A349" s="57"/>
      <c r="B349" s="32">
        <v>44909</v>
      </c>
      <c r="C349" s="33" t="str">
        <f t="shared" si="15"/>
        <v>Mittwoch</v>
      </c>
      <c r="F349" s="39" t="str">
        <f t="shared" si="16"/>
        <v/>
      </c>
    </row>
    <row r="350" spans="1:7" s="20" customFormat="1" x14ac:dyDescent="0.3">
      <c r="A350" s="57"/>
      <c r="B350" s="32">
        <v>44910</v>
      </c>
      <c r="C350" s="33" t="str">
        <f t="shared" si="15"/>
        <v>Donnerstag</v>
      </c>
      <c r="F350" s="39" t="str">
        <f t="shared" si="16"/>
        <v/>
      </c>
    </row>
    <row r="351" spans="1:7" s="20" customFormat="1" x14ac:dyDescent="0.3">
      <c r="A351" s="57"/>
      <c r="B351" s="32">
        <v>44911</v>
      </c>
      <c r="C351" s="33" t="str">
        <f t="shared" si="15"/>
        <v>Freitag</v>
      </c>
      <c r="F351" s="39" t="str">
        <f t="shared" si="16"/>
        <v/>
      </c>
    </row>
    <row r="352" spans="1:7" s="44" customFormat="1" x14ac:dyDescent="0.3">
      <c r="A352" s="57"/>
      <c r="B352" s="42">
        <v>44912</v>
      </c>
      <c r="C352" s="43" t="str">
        <f t="shared" si="15"/>
        <v>Samstag</v>
      </c>
      <c r="E352" s="44" t="s">
        <v>111</v>
      </c>
      <c r="F352" s="45">
        <f>SUM(F347:F351)</f>
        <v>0</v>
      </c>
      <c r="G352" s="44">
        <f>SUM(G347:G351)</f>
        <v>0</v>
      </c>
    </row>
    <row r="353" spans="1:7" s="36" customFormat="1" x14ac:dyDescent="0.3">
      <c r="A353" s="58"/>
      <c r="B353" s="34">
        <v>44913</v>
      </c>
      <c r="C353" s="35" t="str">
        <f t="shared" si="15"/>
        <v>Sonntag</v>
      </c>
      <c r="F353" s="41" t="str">
        <f t="shared" si="16"/>
        <v/>
      </c>
    </row>
    <row r="354" spans="1:7" s="20" customFormat="1" x14ac:dyDescent="0.3">
      <c r="A354" s="59">
        <f t="shared" si="17"/>
        <v>51</v>
      </c>
      <c r="B354" s="32">
        <v>44914</v>
      </c>
      <c r="C354" s="33" t="str">
        <f t="shared" si="15"/>
        <v>Montag</v>
      </c>
      <c r="F354" s="39" t="str">
        <f t="shared" si="16"/>
        <v/>
      </c>
    </row>
    <row r="355" spans="1:7" s="20" customFormat="1" x14ac:dyDescent="0.3">
      <c r="A355" s="59"/>
      <c r="B355" s="32">
        <v>44915</v>
      </c>
      <c r="C355" s="33" t="str">
        <f t="shared" si="15"/>
        <v>Dienstag</v>
      </c>
      <c r="F355" s="39" t="str">
        <f t="shared" si="16"/>
        <v/>
      </c>
    </row>
    <row r="356" spans="1:7" s="20" customFormat="1" x14ac:dyDescent="0.3">
      <c r="A356" s="59"/>
      <c r="B356" s="32">
        <v>44916</v>
      </c>
      <c r="C356" s="33" t="str">
        <f t="shared" si="15"/>
        <v>Mittwoch</v>
      </c>
      <c r="F356" s="39" t="str">
        <f t="shared" si="16"/>
        <v/>
      </c>
    </row>
    <row r="357" spans="1:7" s="20" customFormat="1" x14ac:dyDescent="0.3">
      <c r="A357" s="59"/>
      <c r="B357" s="32">
        <v>44917</v>
      </c>
      <c r="C357" s="33" t="str">
        <f t="shared" si="15"/>
        <v>Donnerstag</v>
      </c>
      <c r="F357" s="39" t="str">
        <f t="shared" si="16"/>
        <v/>
      </c>
    </row>
    <row r="358" spans="1:7" s="20" customFormat="1" x14ac:dyDescent="0.3">
      <c r="A358" s="59"/>
      <c r="B358" s="32">
        <v>44918</v>
      </c>
      <c r="C358" s="33" t="str">
        <f t="shared" si="15"/>
        <v>Freitag</v>
      </c>
      <c r="F358" s="39" t="str">
        <f t="shared" si="16"/>
        <v/>
      </c>
    </row>
    <row r="359" spans="1:7" s="44" customFormat="1" x14ac:dyDescent="0.3">
      <c r="A359" s="59"/>
      <c r="B359" s="42">
        <v>44919</v>
      </c>
      <c r="C359" s="43" t="str">
        <f t="shared" si="15"/>
        <v>Samstag</v>
      </c>
      <c r="E359" s="44" t="s">
        <v>112</v>
      </c>
      <c r="F359" s="45">
        <f>SUM(F354:F358)</f>
        <v>0</v>
      </c>
      <c r="G359" s="44">
        <f>SUM(G354:G358)</f>
        <v>0</v>
      </c>
    </row>
    <row r="360" spans="1:7" s="36" customFormat="1" x14ac:dyDescent="0.3">
      <c r="A360" s="59"/>
      <c r="B360" s="34">
        <v>44920</v>
      </c>
      <c r="C360" s="35" t="str">
        <f t="shared" si="15"/>
        <v>Sonntag</v>
      </c>
      <c r="F360" s="41" t="str">
        <f t="shared" si="16"/>
        <v/>
      </c>
    </row>
    <row r="361" spans="1:7" s="20" customFormat="1" x14ac:dyDescent="0.3">
      <c r="A361" s="56">
        <f t="shared" si="17"/>
        <v>52</v>
      </c>
      <c r="B361" s="32">
        <v>44921</v>
      </c>
      <c r="C361" s="33" t="str">
        <f t="shared" si="15"/>
        <v>Montag</v>
      </c>
      <c r="F361" s="39" t="str">
        <f t="shared" si="16"/>
        <v/>
      </c>
    </row>
    <row r="362" spans="1:7" s="20" customFormat="1" x14ac:dyDescent="0.3">
      <c r="A362" s="57"/>
      <c r="B362" s="32">
        <v>44922</v>
      </c>
      <c r="C362" s="33" t="str">
        <f t="shared" si="15"/>
        <v>Dienstag</v>
      </c>
      <c r="F362" s="39" t="str">
        <f t="shared" si="16"/>
        <v/>
      </c>
    </row>
    <row r="363" spans="1:7" s="20" customFormat="1" x14ac:dyDescent="0.3">
      <c r="A363" s="57"/>
      <c r="B363" s="32">
        <v>44923</v>
      </c>
      <c r="C363" s="33" t="str">
        <f t="shared" si="15"/>
        <v>Mittwoch</v>
      </c>
      <c r="F363" s="39" t="str">
        <f t="shared" si="16"/>
        <v/>
      </c>
    </row>
    <row r="364" spans="1:7" s="20" customFormat="1" x14ac:dyDescent="0.3">
      <c r="A364" s="57"/>
      <c r="B364" s="32">
        <v>44924</v>
      </c>
      <c r="C364" s="33" t="str">
        <f t="shared" si="15"/>
        <v>Donnerstag</v>
      </c>
      <c r="F364" s="39" t="str">
        <f t="shared" si="16"/>
        <v/>
      </c>
    </row>
    <row r="365" spans="1:7" s="20" customFormat="1" x14ac:dyDescent="0.3">
      <c r="A365" s="57"/>
      <c r="B365" s="32">
        <v>44925</v>
      </c>
      <c r="C365" s="33" t="str">
        <f t="shared" si="15"/>
        <v>Freitag</v>
      </c>
      <c r="F365" s="39" t="str">
        <f t="shared" si="16"/>
        <v/>
      </c>
    </row>
    <row r="366" spans="1:7" s="44" customFormat="1" x14ac:dyDescent="0.3">
      <c r="A366" s="57"/>
      <c r="B366" s="42">
        <v>44926</v>
      </c>
      <c r="C366" s="43" t="str">
        <f t="shared" si="15"/>
        <v>Samstag</v>
      </c>
      <c r="E366" s="44" t="s">
        <v>113</v>
      </c>
      <c r="F366" s="45">
        <f>SUM(F361:F365)</f>
        <v>0</v>
      </c>
      <c r="G366" s="44">
        <f>SUM(G361:G365)</f>
        <v>0</v>
      </c>
    </row>
    <row r="367" spans="1:7" s="20" customFormat="1" x14ac:dyDescent="0.3">
      <c r="A367" s="58"/>
      <c r="F367" s="39"/>
    </row>
  </sheetData>
  <mergeCells count="53">
    <mergeCell ref="A74:A80"/>
    <mergeCell ref="A81:A87"/>
    <mergeCell ref="A88:A94"/>
    <mergeCell ref="A95:A101"/>
    <mergeCell ref="A67:A73"/>
    <mergeCell ref="A39:A45"/>
    <mergeCell ref="A46:A52"/>
    <mergeCell ref="A53:A59"/>
    <mergeCell ref="A2:A3"/>
    <mergeCell ref="A60:A66"/>
    <mergeCell ref="A4:A10"/>
    <mergeCell ref="A11:A17"/>
    <mergeCell ref="A18:A24"/>
    <mergeCell ref="A32:A38"/>
    <mergeCell ref="A25:A31"/>
    <mergeCell ref="A102:A108"/>
    <mergeCell ref="A193:A199"/>
    <mergeCell ref="A116:A122"/>
    <mergeCell ref="A123:A129"/>
    <mergeCell ref="A130:A136"/>
    <mergeCell ref="A137:A143"/>
    <mergeCell ref="A144:A150"/>
    <mergeCell ref="A151:A157"/>
    <mergeCell ref="A158:A164"/>
    <mergeCell ref="A165:A171"/>
    <mergeCell ref="A172:A178"/>
    <mergeCell ref="A179:A185"/>
    <mergeCell ref="A186:A192"/>
    <mergeCell ref="A109:A115"/>
    <mergeCell ref="A277:A283"/>
    <mergeCell ref="A200:A206"/>
    <mergeCell ref="A207:A213"/>
    <mergeCell ref="A214:A220"/>
    <mergeCell ref="A221:A227"/>
    <mergeCell ref="A228:A234"/>
    <mergeCell ref="A235:A241"/>
    <mergeCell ref="A242:A248"/>
    <mergeCell ref="A249:A255"/>
    <mergeCell ref="A256:A262"/>
    <mergeCell ref="A263:A269"/>
    <mergeCell ref="A270:A276"/>
    <mergeCell ref="A361:A367"/>
    <mergeCell ref="A284:A290"/>
    <mergeCell ref="A291:A297"/>
    <mergeCell ref="A298:A304"/>
    <mergeCell ref="A305:A311"/>
    <mergeCell ref="A312:A318"/>
    <mergeCell ref="A319:A325"/>
    <mergeCell ref="A326:A332"/>
    <mergeCell ref="A333:A339"/>
    <mergeCell ref="A340:A346"/>
    <mergeCell ref="A347:A353"/>
    <mergeCell ref="A354:A360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5471E-B461-41AE-8928-6CF4C3F073A6}">
  <sheetPr codeName="Tabelle5"/>
  <dimension ref="A1:C53"/>
  <sheetViews>
    <sheetView workbookViewId="0">
      <selection activeCell="B2" sqref="B2"/>
    </sheetView>
  </sheetViews>
  <sheetFormatPr baseColWidth="10" defaultRowHeight="14.4" x14ac:dyDescent="0.3"/>
  <sheetData>
    <row r="1" spans="1:3" x14ac:dyDescent="0.3">
      <c r="A1" s="37" t="s">
        <v>114</v>
      </c>
      <c r="B1" s="37" t="s">
        <v>46</v>
      </c>
      <c r="C1" s="37" t="s">
        <v>47</v>
      </c>
    </row>
    <row r="2" spans="1:3" x14ac:dyDescent="0.3">
      <c r="A2" t="s">
        <v>62</v>
      </c>
      <c r="B2" s="10">
        <f>VLOOKUP(A2,'Tage 2022'!E1:F366,2,FALSE)</f>
        <v>0.29166666666666669</v>
      </c>
    </row>
    <row r="3" spans="1:3" x14ac:dyDescent="0.3">
      <c r="A3" t="s">
        <v>63</v>
      </c>
      <c r="B3" s="10">
        <f>VLOOKUP(A3,'Tage 2022'!E2:F367,2,FALSE)</f>
        <v>0</v>
      </c>
    </row>
    <row r="4" spans="1:3" x14ac:dyDescent="0.3">
      <c r="A4" t="s">
        <v>64</v>
      </c>
      <c r="B4" s="10">
        <f>VLOOKUP(A4,'Tage 2022'!E3:F368,2,FALSE)</f>
        <v>0</v>
      </c>
    </row>
    <row r="5" spans="1:3" x14ac:dyDescent="0.3">
      <c r="A5" t="s">
        <v>65</v>
      </c>
      <c r="B5" s="10">
        <f>VLOOKUP(A5,'Tage 2022'!E4:F369,2,FALSE)</f>
        <v>0</v>
      </c>
    </row>
    <row r="6" spans="1:3" x14ac:dyDescent="0.3">
      <c r="A6" t="s">
        <v>66</v>
      </c>
      <c r="B6" s="10">
        <f>VLOOKUP(A6,'Tage 2022'!E5:F370,2,FALSE)</f>
        <v>0</v>
      </c>
    </row>
    <row r="7" spans="1:3" x14ac:dyDescent="0.3">
      <c r="A7" t="s">
        <v>67</v>
      </c>
      <c r="B7" s="10">
        <f>VLOOKUP(A7,'Tage 2022'!E6:F371,2,FALSE)</f>
        <v>0</v>
      </c>
    </row>
    <row r="8" spans="1:3" x14ac:dyDescent="0.3">
      <c r="A8" t="s">
        <v>68</v>
      </c>
      <c r="B8" s="10">
        <f>VLOOKUP(A8,'Tage 2022'!E7:F372,2,FALSE)</f>
        <v>0</v>
      </c>
    </row>
    <row r="9" spans="1:3" x14ac:dyDescent="0.3">
      <c r="A9" t="s">
        <v>69</v>
      </c>
      <c r="B9" s="10">
        <f>VLOOKUP(A9,'Tage 2022'!E8:F373,2,FALSE)</f>
        <v>0</v>
      </c>
    </row>
    <row r="10" spans="1:3" x14ac:dyDescent="0.3">
      <c r="A10" t="s">
        <v>70</v>
      </c>
      <c r="B10" s="10">
        <f>VLOOKUP(A10,'Tage 2022'!E9:F374,2,FALSE)</f>
        <v>0</v>
      </c>
    </row>
    <row r="11" spans="1:3" x14ac:dyDescent="0.3">
      <c r="A11" t="s">
        <v>71</v>
      </c>
      <c r="B11" s="10">
        <f>VLOOKUP(A11,'Tage 2022'!E10:F375,2,FALSE)</f>
        <v>0</v>
      </c>
    </row>
    <row r="12" spans="1:3" x14ac:dyDescent="0.3">
      <c r="A12" t="s">
        <v>72</v>
      </c>
      <c r="B12" s="10">
        <f>VLOOKUP(A12,'Tage 2022'!E11:F376,2,FALSE)</f>
        <v>0</v>
      </c>
    </row>
    <row r="13" spans="1:3" x14ac:dyDescent="0.3">
      <c r="A13" t="s">
        <v>73</v>
      </c>
      <c r="B13" s="10">
        <f>VLOOKUP(A13,'Tage 2022'!E12:F377,2,FALSE)</f>
        <v>0</v>
      </c>
    </row>
    <row r="14" spans="1:3" x14ac:dyDescent="0.3">
      <c r="A14" t="s">
        <v>74</v>
      </c>
      <c r="B14" s="10">
        <f>VLOOKUP(A14,'Tage 2022'!E13:F378,2,FALSE)</f>
        <v>0</v>
      </c>
    </row>
    <row r="15" spans="1:3" x14ac:dyDescent="0.3">
      <c r="A15" t="s">
        <v>75</v>
      </c>
      <c r="B15" s="10">
        <f>VLOOKUP(A15,'Tage 2022'!E14:F379,2,FALSE)</f>
        <v>0</v>
      </c>
    </row>
    <row r="16" spans="1:3" x14ac:dyDescent="0.3">
      <c r="A16" t="s">
        <v>76</v>
      </c>
      <c r="B16" s="10">
        <f>VLOOKUP(A16,'Tage 2022'!E15:F380,2,FALSE)</f>
        <v>0</v>
      </c>
    </row>
    <row r="17" spans="1:2" x14ac:dyDescent="0.3">
      <c r="A17" t="s">
        <v>77</v>
      </c>
      <c r="B17" s="10">
        <f>VLOOKUP(A17,'Tage 2022'!E16:F381,2,FALSE)</f>
        <v>0</v>
      </c>
    </row>
    <row r="18" spans="1:2" x14ac:dyDescent="0.3">
      <c r="A18" t="s">
        <v>78</v>
      </c>
      <c r="B18" s="10">
        <f>VLOOKUP(A18,'Tage 2022'!E17:F382,2,FALSE)</f>
        <v>0</v>
      </c>
    </row>
    <row r="19" spans="1:2" x14ac:dyDescent="0.3">
      <c r="A19" t="s">
        <v>79</v>
      </c>
      <c r="B19" s="10">
        <f>VLOOKUP(A19,'Tage 2022'!E18:F383,2,FALSE)</f>
        <v>0</v>
      </c>
    </row>
    <row r="20" spans="1:2" x14ac:dyDescent="0.3">
      <c r="A20" t="s">
        <v>80</v>
      </c>
      <c r="B20" s="10">
        <f>VLOOKUP(A20,'Tage 2022'!E19:F384,2,FALSE)</f>
        <v>0</v>
      </c>
    </row>
    <row r="21" spans="1:2" x14ac:dyDescent="0.3">
      <c r="A21" t="s">
        <v>81</v>
      </c>
      <c r="B21" s="10">
        <f>VLOOKUP(A21,'Tage 2022'!E20:F385,2,FALSE)</f>
        <v>0</v>
      </c>
    </row>
    <row r="22" spans="1:2" x14ac:dyDescent="0.3">
      <c r="A22" t="s">
        <v>82</v>
      </c>
      <c r="B22" s="10">
        <f>VLOOKUP(A22,'Tage 2022'!E21:F386,2,FALSE)</f>
        <v>0</v>
      </c>
    </row>
    <row r="23" spans="1:2" x14ac:dyDescent="0.3">
      <c r="A23" t="s">
        <v>83</v>
      </c>
      <c r="B23" s="10">
        <f>VLOOKUP(A23,'Tage 2022'!E22:F387,2,FALSE)</f>
        <v>0</v>
      </c>
    </row>
    <row r="24" spans="1:2" x14ac:dyDescent="0.3">
      <c r="A24" t="s">
        <v>84</v>
      </c>
      <c r="B24" s="10">
        <f>VLOOKUP(A24,'Tage 2022'!E23:F388,2,FALSE)</f>
        <v>0</v>
      </c>
    </row>
    <row r="25" spans="1:2" x14ac:dyDescent="0.3">
      <c r="A25" t="s">
        <v>85</v>
      </c>
      <c r="B25" s="10">
        <f>VLOOKUP(A25,'Tage 2022'!E24:F389,2,FALSE)</f>
        <v>0</v>
      </c>
    </row>
    <row r="26" spans="1:2" x14ac:dyDescent="0.3">
      <c r="A26" t="s">
        <v>86</v>
      </c>
      <c r="B26" s="10">
        <f>VLOOKUP(A26,'Tage 2022'!E25:F390,2,FALSE)</f>
        <v>0</v>
      </c>
    </row>
    <row r="27" spans="1:2" x14ac:dyDescent="0.3">
      <c r="A27" t="s">
        <v>87</v>
      </c>
      <c r="B27" s="10">
        <f>VLOOKUP(A27,'Tage 2022'!E26:F391,2,FALSE)</f>
        <v>0</v>
      </c>
    </row>
    <row r="28" spans="1:2" x14ac:dyDescent="0.3">
      <c r="A28" t="s">
        <v>88</v>
      </c>
      <c r="B28" s="10">
        <f>VLOOKUP(A28,'Tage 2022'!E27:F392,2,FALSE)</f>
        <v>0</v>
      </c>
    </row>
    <row r="29" spans="1:2" x14ac:dyDescent="0.3">
      <c r="A29" t="s">
        <v>89</v>
      </c>
      <c r="B29" s="10">
        <f>VLOOKUP(A29,'Tage 2022'!E28:F393,2,FALSE)</f>
        <v>0</v>
      </c>
    </row>
    <row r="30" spans="1:2" x14ac:dyDescent="0.3">
      <c r="A30" t="s">
        <v>90</v>
      </c>
      <c r="B30" s="10">
        <f>VLOOKUP(A30,'Tage 2022'!E29:F394,2,FALSE)</f>
        <v>0</v>
      </c>
    </row>
    <row r="31" spans="1:2" x14ac:dyDescent="0.3">
      <c r="A31" t="s">
        <v>91</v>
      </c>
      <c r="B31" s="10">
        <f>VLOOKUP(A31,'Tage 2022'!E30:F395,2,FALSE)</f>
        <v>0</v>
      </c>
    </row>
    <row r="32" spans="1:2" x14ac:dyDescent="0.3">
      <c r="A32" t="s">
        <v>92</v>
      </c>
      <c r="B32" s="10">
        <f>VLOOKUP(A32,'Tage 2022'!E31:F396,2,FALSE)</f>
        <v>0</v>
      </c>
    </row>
    <row r="33" spans="1:2" x14ac:dyDescent="0.3">
      <c r="A33" t="s">
        <v>93</v>
      </c>
      <c r="B33" s="10">
        <f>VLOOKUP(A33,'Tage 2022'!E32:F397,2,FALSE)</f>
        <v>0</v>
      </c>
    </row>
    <row r="34" spans="1:2" x14ac:dyDescent="0.3">
      <c r="A34" t="s">
        <v>94</v>
      </c>
      <c r="B34" s="10">
        <f>VLOOKUP(A34,'Tage 2022'!E33:F398,2,FALSE)</f>
        <v>0</v>
      </c>
    </row>
    <row r="35" spans="1:2" x14ac:dyDescent="0.3">
      <c r="A35" t="s">
        <v>95</v>
      </c>
      <c r="B35" s="10">
        <f>VLOOKUP(A35,'Tage 2022'!E34:F399,2,FALSE)</f>
        <v>0</v>
      </c>
    </row>
    <row r="36" spans="1:2" x14ac:dyDescent="0.3">
      <c r="A36" t="s">
        <v>96</v>
      </c>
      <c r="B36" s="10">
        <f>VLOOKUP(A36,'Tage 2022'!E35:F400,2,FALSE)</f>
        <v>0</v>
      </c>
    </row>
    <row r="37" spans="1:2" x14ac:dyDescent="0.3">
      <c r="A37" t="s">
        <v>97</v>
      </c>
      <c r="B37" s="10">
        <f>VLOOKUP(A37,'Tage 2022'!E36:F401,2,FALSE)</f>
        <v>0</v>
      </c>
    </row>
    <row r="38" spans="1:2" x14ac:dyDescent="0.3">
      <c r="A38" t="s">
        <v>98</v>
      </c>
      <c r="B38" s="10">
        <f>VLOOKUP(A38,'Tage 2022'!E37:F402,2,FALSE)</f>
        <v>0</v>
      </c>
    </row>
    <row r="39" spans="1:2" x14ac:dyDescent="0.3">
      <c r="A39" t="s">
        <v>99</v>
      </c>
      <c r="B39" s="10">
        <f>VLOOKUP(A39,'Tage 2022'!E38:F403,2,FALSE)</f>
        <v>0</v>
      </c>
    </row>
    <row r="40" spans="1:2" x14ac:dyDescent="0.3">
      <c r="A40" t="s">
        <v>100</v>
      </c>
      <c r="B40" s="10">
        <f>VLOOKUP(A40,'Tage 2022'!E39:F404,2,FALSE)</f>
        <v>0</v>
      </c>
    </row>
    <row r="41" spans="1:2" x14ac:dyDescent="0.3">
      <c r="A41" t="s">
        <v>101</v>
      </c>
      <c r="B41" s="10">
        <f>VLOOKUP(A41,'Tage 2022'!E40:F405,2,FALSE)</f>
        <v>0</v>
      </c>
    </row>
    <row r="42" spans="1:2" x14ac:dyDescent="0.3">
      <c r="A42" t="s">
        <v>102</v>
      </c>
      <c r="B42" s="10">
        <f>VLOOKUP(A42,'Tage 2022'!E41:F406,2,FALSE)</f>
        <v>0</v>
      </c>
    </row>
    <row r="43" spans="1:2" x14ac:dyDescent="0.3">
      <c r="A43" t="s">
        <v>103</v>
      </c>
      <c r="B43" s="10">
        <f>VLOOKUP(A43,'Tage 2022'!E42:F407,2,FALSE)</f>
        <v>0</v>
      </c>
    </row>
    <row r="44" spans="1:2" x14ac:dyDescent="0.3">
      <c r="A44" t="s">
        <v>104</v>
      </c>
      <c r="B44" s="10">
        <f>VLOOKUP(A44,'Tage 2022'!E43:F408,2,FALSE)</f>
        <v>0</v>
      </c>
    </row>
    <row r="45" spans="1:2" x14ac:dyDescent="0.3">
      <c r="A45" t="s">
        <v>105</v>
      </c>
      <c r="B45" s="10">
        <f>VLOOKUP(A45,'Tage 2022'!E44:F409,2,FALSE)</f>
        <v>0</v>
      </c>
    </row>
    <row r="46" spans="1:2" x14ac:dyDescent="0.3">
      <c r="A46" t="s">
        <v>106</v>
      </c>
      <c r="B46" s="10">
        <f>VLOOKUP(A46,'Tage 2022'!E45:F410,2,FALSE)</f>
        <v>0</v>
      </c>
    </row>
    <row r="47" spans="1:2" x14ac:dyDescent="0.3">
      <c r="A47" t="s">
        <v>107</v>
      </c>
      <c r="B47" s="10">
        <f>VLOOKUP(A47,'Tage 2022'!E46:F411,2,FALSE)</f>
        <v>0</v>
      </c>
    </row>
    <row r="48" spans="1:2" x14ac:dyDescent="0.3">
      <c r="A48" t="s">
        <v>108</v>
      </c>
      <c r="B48" s="10">
        <f>VLOOKUP(A48,'Tage 2022'!E47:F412,2,FALSE)</f>
        <v>0</v>
      </c>
    </row>
    <row r="49" spans="1:2" x14ac:dyDescent="0.3">
      <c r="A49" t="s">
        <v>109</v>
      </c>
      <c r="B49" s="10">
        <f>VLOOKUP(A49,'Tage 2022'!E48:F413,2,FALSE)</f>
        <v>0</v>
      </c>
    </row>
    <row r="50" spans="1:2" x14ac:dyDescent="0.3">
      <c r="A50" t="s">
        <v>110</v>
      </c>
      <c r="B50" s="10">
        <f>VLOOKUP(A50,'Tage 2022'!E49:F414,2,FALSE)</f>
        <v>0</v>
      </c>
    </row>
    <row r="51" spans="1:2" x14ac:dyDescent="0.3">
      <c r="A51" t="s">
        <v>111</v>
      </c>
      <c r="B51" s="10">
        <f>VLOOKUP(A51,'Tage 2022'!E50:F415,2,FALSE)</f>
        <v>0</v>
      </c>
    </row>
    <row r="52" spans="1:2" x14ac:dyDescent="0.3">
      <c r="A52" t="s">
        <v>112</v>
      </c>
      <c r="B52" s="10">
        <f>VLOOKUP(A52,'Tage 2022'!E51:F416,2,FALSE)</f>
        <v>0</v>
      </c>
    </row>
    <row r="53" spans="1:2" x14ac:dyDescent="0.3">
      <c r="A53" t="s">
        <v>113</v>
      </c>
      <c r="B53" s="10">
        <f>VLOOKUP(A53,'Tage 2022'!E52:F417,2,FALSE)</f>
        <v>0</v>
      </c>
    </row>
  </sheetData>
  <phoneticPr fontId="2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Tagesansicht</vt:lpstr>
      <vt:lpstr>Wochenansicht</vt:lpstr>
      <vt:lpstr>Monatsansicht</vt:lpstr>
      <vt:lpstr>Tage 2022</vt:lpstr>
      <vt:lpstr>Wochen 2022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Sachenbacher, Johannes</dc:creator>
  <cp:lastModifiedBy>Sachenbacher, Johannes</cp:lastModifiedBy>
  <dcterms:created xsi:type="dcterms:W3CDTF">2015-06-05T18:19:34Z</dcterms:created>
  <dcterms:modified xsi:type="dcterms:W3CDTF">2022-03-28T09:33:15Z</dcterms:modified>
</cp:coreProperties>
</file>